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uropean University Fairs 20252" sheetId="1" r:id="rId4"/>
    <sheet state="visible" name="Confirmed upcoming Events - Sta" sheetId="2" r:id="rId5"/>
    <sheet state="visible" name="Itinerary Travel Budget for upc" sheetId="3" r:id="rId6"/>
    <sheet state="visible" name="Warm invitationscontacts" sheetId="4" r:id="rId7"/>
    <sheet state="visible" name="Uwc timelines AI" sheetId="5" r:id="rId8"/>
    <sheet state="visible" name="Educational organizations Europ" sheetId="6" r:id="rId9"/>
    <sheet state="visible" name="UWC percentage on scholarship" sheetId="7" r:id="rId10"/>
  </sheets>
  <definedNames/>
  <calcPr/>
</workbook>
</file>

<file path=xl/sharedStrings.xml><?xml version="1.0" encoding="utf-8"?>
<sst xmlns="http://schemas.openxmlformats.org/spreadsheetml/2006/main" count="1507" uniqueCount="899">
  <si>
    <t>Date(s)</t>
  </si>
  <si>
    <t>Duration of Fair</t>
  </si>
  <si>
    <t>Country</t>
  </si>
  <si>
    <t>City</t>
  </si>
  <si>
    <t>Event</t>
  </si>
  <si>
    <t>Organization</t>
  </si>
  <si>
    <t>Host Venue/Host School</t>
  </si>
  <si>
    <t>Exhibitor Cost (Est.)</t>
  </si>
  <si>
    <t>Registration Deadline</t>
  </si>
  <si>
    <t>Website</t>
  </si>
  <si>
    <t>More Details</t>
  </si>
  <si>
    <t>More research</t>
  </si>
  <si>
    <t>Analysis of fit</t>
  </si>
  <si>
    <t>Look into it more</t>
  </si>
  <si>
    <t xml:space="preserve">Should I email them and ask about more info? </t>
  </si>
  <si>
    <t>Sep 16–19, 2025</t>
  </si>
  <si>
    <t>Sep 10-11, 08:30-18:00, Sep 12, 08:30-12:00</t>
  </si>
  <si>
    <t>Sweden</t>
  </si>
  <si>
    <t>Gothenburg</t>
  </si>
  <si>
    <t>EAIE Exhibition</t>
  </si>
  <si>
    <t>EAIE</t>
  </si>
  <si>
    <t>Svenska Mässan - the Swedish Exhibition &amp; Congress Centre</t>
  </si>
  <si>
    <t>From €570</t>
  </si>
  <si>
    <t>Typically June/July 2025</t>
  </si>
  <si>
    <t>https://www.eaie.org/</t>
  </si>
  <si>
    <t>Note: Professional conference, not a student fair.</t>
  </si>
  <si>
    <t>Confirmed that this is not a student fair but a higher education conference for professionals.</t>
  </si>
  <si>
    <t>Not a good fit. This is a networking event for higher education professionals, not for student recruitment.</t>
  </si>
  <si>
    <t>Denmark</t>
  </si>
  <si>
    <t>Copenhagen</t>
  </si>
  <si>
    <t>NSAC</t>
  </si>
  <si>
    <t>Nordic Study Abroad Community (NSAC)</t>
  </si>
  <si>
    <t>The conference gathers up to 150 of the brightest, most ambitious Nordic students. Universities like Cambridge, Harvard, Oxford, and MIT have previously attended.</t>
  </si>
  <si>
    <t>I was there last year</t>
  </si>
  <si>
    <t>We are already going</t>
  </si>
  <si>
    <t>Sep 24–26, 2025</t>
  </si>
  <si>
    <t>09:00 - 13:30 BST</t>
  </si>
  <si>
    <t>Ireland (Republic)</t>
  </si>
  <si>
    <t>Dublin</t>
  </si>
  <si>
    <t>Higher Options</t>
  </si>
  <si>
    <t>The Irish Times</t>
  </si>
  <si>
    <t>RDS, Main Hall</t>
  </si>
  <si>
    <t xml:space="preserve">
The cost of a single stand space is €1,490 ex. VAT (€1,832.70 inc. VAT). This price includes:
</t>
  </si>
  <si>
    <t>It seems like it already closed registration on August 28</t>
  </si>
  <si>
    <t>https://higheroptions.irishtimes.com/home?language=en</t>
  </si>
  <si>
    <t>Ireland's largest student fair.</t>
  </si>
  <si>
    <t>Considered Ireland's largest student fair for higher education.</t>
  </si>
  <si>
    <t>A very good fit. High volume of students and a focus on higher education.</t>
  </si>
  <si>
    <t>Sep 26–27, 2025</t>
  </si>
  <si>
    <t>Sep 26, 16:00-19:00, Sep 27, 10:00-15:00 GMT+1</t>
  </si>
  <si>
    <t>United Kingdom</t>
  </si>
  <si>
    <t>London</t>
  </si>
  <si>
    <t>USA College Day</t>
  </si>
  <si>
    <t>US-UK Fulbright Commission</t>
  </si>
  <si>
    <t>Kensington Conference and Event Centre</t>
  </si>
  <si>
    <t>From ~£700</t>
  </si>
  <si>
    <t>Rolling, check website</t>
  </si>
  <si>
    <t>https://www.fulbright.org.uk/</t>
  </si>
  <si>
    <t>The largest US university fair in the UK.</t>
  </si>
  <si>
    <t>Focuses on US university recruitment for UK students.</t>
  </si>
  <si>
    <t>Good fit. Targets students specifically interested in studying in the US.</t>
  </si>
  <si>
    <t>TBD</t>
  </si>
  <si>
    <t>Liechtenstein</t>
  </si>
  <si>
    <t>Schaan</t>
  </si>
  <si>
    <t>next-step Berufs- &amp; Bildungstage</t>
  </si>
  <si>
    <t>Govt. of Liechtenstein (ABB)</t>
  </si>
  <si>
    <t>Free</t>
  </si>
  <si>
    <t>Check website</t>
  </si>
  <si>
    <t>https://digital.next-step.li/</t>
  </si>
  <si>
    <t>National career guidance event.</t>
  </si>
  <si>
    <t>Focuses on general career guidance and education for students in Liechtenstein.</t>
  </si>
  <si>
    <t>Limited fit. Small country, but a good option for building brand presence.</t>
  </si>
  <si>
    <t>This looks interesting</t>
  </si>
  <si>
    <t xml:space="preserve">Should I email them for more info? </t>
  </si>
  <si>
    <t>13:30 - 16:30 CEST</t>
  </si>
  <si>
    <t>France</t>
  </si>
  <si>
    <t>Paris</t>
  </si>
  <si>
    <t>CIS International University Fair</t>
  </si>
  <si>
    <t>CIS</t>
  </si>
  <si>
    <t>Le Méridien Paris Arc de Triomphe</t>
  </si>
  <si>
    <t>~€500</t>
  </si>
  <si>
    <t>https://www.cois.org/</t>
  </si>
  <si>
    <t>Standardized fees for member institutions.</t>
  </si>
  <si>
    <t>Targets students from CIS member schools; typically academically strong and globally mobile.</t>
  </si>
  <si>
    <t>Excellent fit. Attracts a highly relevant audience of international students from top-tier international schools.</t>
  </si>
  <si>
    <t>14:00 - 19:00 CEST</t>
  </si>
  <si>
    <t>Switzerland</t>
  </si>
  <si>
    <t>Geneva</t>
  </si>
  <si>
    <t>CIS Geneva Fair</t>
  </si>
  <si>
    <t>International School of Geneva Campus des Nations</t>
  </si>
  <si>
    <t>~€400-€500</t>
  </si>
  <si>
    <t>14:30 - 19:00 CEST</t>
  </si>
  <si>
    <t>Zurich</t>
  </si>
  <si>
    <t>Zurich International School, Upper School</t>
  </si>
  <si>
    <t>Sep 30–Oct 2, 2025</t>
  </si>
  <si>
    <t>Germany / Belgium</t>
  </si>
  <si>
    <t>Multiple cities</t>
  </si>
  <si>
    <t>SRT Fairs Germany &amp; Belgium Tour</t>
  </si>
  <si>
    <t>SRT Fairs</t>
  </si>
  <si>
    <t>Varies by city</t>
  </si>
  <si>
    <t>€1,200 - €3,600</t>
  </si>
  <si>
    <t>https://srtfairs.com/</t>
  </si>
  <si>
    <t>Cost varies by number of cities.</t>
  </si>
  <si>
    <t>Confirmed that these are tailored fairs for high school students, counselors, and parents, focusing on international university recruitment.</t>
  </si>
  <si>
    <t>Excellent fit. These fairs specifically target well-prepared, globally-minded high school students interested in international education.</t>
  </si>
  <si>
    <t>Expensive</t>
  </si>
  <si>
    <t>Oct 10–11, 2025</t>
  </si>
  <si>
    <t>Netherlands</t>
  </si>
  <si>
    <t>s-Hertogenbosch</t>
  </si>
  <si>
    <t>Onderwijsbeurs Zuid</t>
  </si>
  <si>
    <t>Organisatie Groep Zuid</t>
  </si>
  <si>
    <t>Brabanthallen 's-Hertogenbosch</t>
  </si>
  <si>
    <t>From ~€2,500</t>
  </si>
  <si>
    <t>Typically Sept 2025</t>
  </si>
  <si>
    <t>https://www.onderwijsbeurs.nl/</t>
  </si>
  <si>
    <t>Prices vary based on booth size.</t>
  </si>
  <si>
    <t>A study choice event for students in Southern Netherlands, for those who are unsure about their next steps.</t>
  </si>
  <si>
    <t>Good fit. Caters to students who are in the crucial phase of making or reconsidering their academic choices.</t>
  </si>
  <si>
    <t>5:30-7PM</t>
  </si>
  <si>
    <t>Germany</t>
  </si>
  <si>
    <t>Vilseck</t>
  </si>
  <si>
    <t>College/Career Fair</t>
  </si>
  <si>
    <t>US Dept of Defense</t>
  </si>
  <si>
    <t>Vilseck High School MPR</t>
  </si>
  <si>
    <t>Annual College/Career Fair for students at Vilseck High School.</t>
  </si>
  <si>
    <t>Linnea is going</t>
  </si>
  <si>
    <t>Austria</t>
  </si>
  <si>
    <t>Vienna</t>
  </si>
  <si>
    <t>€400</t>
  </si>
  <si>
    <t>Standard fee for CIS members.</t>
  </si>
  <si>
    <t>Standard fee for CIS members. Targets students from CIS member schools; typically academically strong and globally mobile.</t>
  </si>
  <si>
    <t>Alena said it doesn't fit in the budget unfortunately</t>
  </si>
  <si>
    <t>Oct 25-26, 2025</t>
  </si>
  <si>
    <t>Portugal</t>
  </si>
  <si>
    <t>Lisbon and Porto</t>
  </si>
  <si>
    <t>Study Abroad Portugal</t>
  </si>
  <si>
    <t>FPP</t>
  </si>
  <si>
    <t>€1,700 - €3,200</t>
  </si>
  <si>
    <t>https://www.fpp.world/</t>
  </si>
  <si>
    <t>Cost depends on package.</t>
  </si>
  <si>
    <t>Targets a wide range of students seeking bachelor's, master's, and postgraduate degrees. The Portuguese market shows high interest in English-taught programs.</t>
  </si>
  <si>
    <t>Excellent fit. A large pool of students interested in studying abroad, particularly for postgraduate programs.</t>
  </si>
  <si>
    <t>Why are all the Portugal fairs so expensive</t>
  </si>
  <si>
    <t>Oct 30–31, 2025</t>
  </si>
  <si>
    <t>09:00-17:00</t>
  </si>
  <si>
    <t>Luxembourg</t>
  </si>
  <si>
    <t>Belval</t>
  </si>
  <si>
    <t>Foire de l’Étudiant</t>
  </si>
  <si>
    <t>Min. of Higher Education</t>
  </si>
  <si>
    <t>Université du Luxembourg</t>
  </si>
  <si>
    <t>Contact Organizer</t>
  </si>
  <si>
    <t>https://meng.gouvernement.lu/</t>
  </si>
  <si>
    <t>Often subsidized for public universities.</t>
  </si>
  <si>
    <t>Aimed at students in their final year of high school, parents, and existing students seeking to change or continue their education.</t>
  </si>
  <si>
    <t>Good fit. Targets a relevant audience of high school students and parents actively considering their future academic paths.</t>
  </si>
  <si>
    <t>Nov 6–9, 2025</t>
  </si>
  <si>
    <t>Luzern</t>
  </si>
  <si>
    <t>ZEBI</t>
  </si>
  <si>
    <t>Messe Luzern AG</t>
  </si>
  <si>
    <t>From ~€1,500</t>
  </si>
  <si>
    <t>Typically Oct 2025</t>
  </si>
  <si>
    <t>https://www.zebi.ch/</t>
  </si>
  <si>
    <t>Exhibitor costs vary widely.</t>
  </si>
  <si>
    <t>A career and education fair for young people making career choices, showcasing professions and continuing education opportunities.</t>
  </si>
  <si>
    <t>Good fit. Attracts students in the process of exploring their options, including university and vocational pathways.</t>
  </si>
  <si>
    <t>Nov 7–8, 2025</t>
  </si>
  <si>
    <t>Zwolle</t>
  </si>
  <si>
    <t>Studiekeuzebeurs Midden</t>
  </si>
  <si>
    <t>IJsselhallen Zwolle</t>
  </si>
  <si>
    <t>https://www.studiekeuzebeurs.nl/</t>
  </si>
  <si>
    <t>An educational fair in the central Netherlands for students exploring study options.</t>
  </si>
  <si>
    <t>Good fit. Attracts students who are actively looking for information about higher education.</t>
  </si>
  <si>
    <t>Cologne</t>
  </si>
  <si>
    <t>Bachelor and More</t>
  </si>
  <si>
    <t>border concepts GmbH</t>
  </si>
  <si>
    <t>From ~€3,150</t>
  </si>
  <si>
    <t>https://www.bachelor-and-more.de/</t>
  </si>
  <si>
    <t>Part of a larger series of fairs.</t>
  </si>
  <si>
    <t>Targets high school seniors and recent graduates interested in bachelor's degree programs abroad.</t>
  </si>
  <si>
    <t>Excellent fit. The target audience of prospective undergraduate students and their parents is a perfect match.</t>
  </si>
  <si>
    <t>Spain</t>
  </si>
  <si>
    <t>Madrid</t>
  </si>
  <si>
    <t>CIS Madrid Fair</t>
  </si>
  <si>
    <t>~€400</t>
  </si>
  <si>
    <t>Preliminary date based on last year's event, waiting for details, approximately. Approximately November 11, 2025</t>
  </si>
  <si>
    <t>Amsterdam</t>
  </si>
  <si>
    <t>Amsterdam International School</t>
  </si>
  <si>
    <t>Student interest was heavily skewed towards business and STEM. The fair was only 2 hours and seemed to be a private event.</t>
  </si>
  <si>
    <t>Probably not going, I talked to Alena about it</t>
  </si>
  <si>
    <t>Nov 14–15, 2025</t>
  </si>
  <si>
    <t>Belgium</t>
  </si>
  <si>
    <t>Liège</t>
  </si>
  <si>
    <t>Salon SIEP</t>
  </si>
  <si>
    <t>SIEP</t>
  </si>
  <si>
    <t>From ~€1,000</t>
  </si>
  <si>
    <t>https://salons.siep.be/</t>
  </si>
  <si>
    <t>SIEP offers various booth sizes.</t>
  </si>
  <si>
    <t>An education fair aimed at students and professionals exploring educational and career paths.</t>
  </si>
  <si>
    <t>Good fit. Offers an opportunity to connect with a large, diverse audience of students exploring their options.</t>
  </si>
  <si>
    <t>Small city</t>
  </si>
  <si>
    <t>Nov 18–23, 2025</t>
  </si>
  <si>
    <t>Lausanne</t>
  </si>
  <si>
    <t>Salon des métiers et de la formation</t>
  </si>
  <si>
    <t>MCH Group</t>
  </si>
  <si>
    <t>https://www.metiersformation.ch/</t>
  </si>
  <si>
    <t>Costs vary; contact the organizer.</t>
  </si>
  <si>
    <t>Education and training fair focused on careers and vocational training in addition to higher education.</t>
  </si>
  <si>
    <t>Good fit. Provides a platform to reach a broad audience of students considering various educational paths.</t>
  </si>
  <si>
    <t>Nov 19–20, 2025</t>
  </si>
  <si>
    <t>Guernsey</t>
  </si>
  <si>
    <t>St Peter Port</t>
  </si>
  <si>
    <t>Careers &amp; Skills Show</t>
  </si>
  <si>
    <t>States of Guernsey</t>
  </si>
  <si>
    <t>https://www.guernseycareers.gg/</t>
  </si>
  <si>
    <t>Community event, stands are typically free.</t>
  </si>
  <si>
    <t>Aimed at students and islanders looking for career and education advice.</t>
  </si>
  <si>
    <t>Limited fit. A small, regional event, but a good option for building brand presence at a low cost.</t>
  </si>
  <si>
    <t>Nov 21–22, 2025</t>
  </si>
  <si>
    <t>Namur</t>
  </si>
  <si>
    <t>Lisbon</t>
  </si>
  <si>
    <t>Unitour Lisbon</t>
  </si>
  <si>
    <t>Circulo Formación</t>
  </si>
  <si>
    <t>From ~€2,000</t>
  </si>
  <si>
    <t>https://www.unitour.es/</t>
  </si>
  <si>
    <t>Packages can include multiple cities.</t>
  </si>
  <si>
    <t>A student fair as part of a multi-city tour.</t>
  </si>
  <si>
    <t>Good fit. Offers direct access to students in the key city of Lisbon.</t>
  </si>
  <si>
    <t>Nov 25–26, 2025</t>
  </si>
  <si>
    <t>Finland</t>
  </si>
  <si>
    <t>Helsinki</t>
  </si>
  <si>
    <t>Studia Helsinki</t>
  </si>
  <si>
    <t>Finnish Fair Corporation</t>
  </si>
  <si>
    <t>From ~€3,500</t>
  </si>
  <si>
    <t>Typically Oct/Nov 2025</t>
  </si>
  <si>
    <t>https://studia.messukeskus.com/</t>
  </si>
  <si>
    <t>Cost for a standard booth.</t>
  </si>
  <si>
    <t>One of the largest student recruitment fairs in Finland.</t>
  </si>
  <si>
    <t>Very good fit. A major event for Finnish students interested in domestic and international studies.</t>
  </si>
  <si>
    <t>Nov 28–29, 2025</t>
  </si>
  <si>
    <t>Brussels</t>
  </si>
  <si>
    <t>Salon SIEP Bruxelles</t>
  </si>
  <si>
    <t>A large education fair in Brussels with high attendance.</t>
  </si>
  <si>
    <t>Very good fit. Offers an opportunity to connect with a large, diverse audience of students exploring their options.</t>
  </si>
  <si>
    <t>Jan–Mar 2026</t>
  </si>
  <si>
    <t>Norway</t>
  </si>
  <si>
    <t>Ta Utdanning fairs</t>
  </si>
  <si>
    <t>Ta Utdanning</t>
  </si>
  <si>
    <t>From ~€1,000/city</t>
  </si>
  <si>
    <t>https://www.tautdanning.no/</t>
  </si>
  <si>
    <t>Cost varies by city and package.</t>
  </si>
  <si>
    <t>A series of fairs targeting motivated students seeking higher education in Norway and abroad.</t>
  </si>
  <si>
    <t>Excellent fit. Norwegian students are highly motivated, English-proficient, and interested in studying abroad.</t>
  </si>
  <si>
    <t>Helsingborg</t>
  </si>
  <si>
    <t>Framtidsmässan Helsingborg</t>
  </si>
  <si>
    <t>TBD / Local Organizer</t>
  </si>
  <si>
    <t>TBD / Autumn 2025</t>
  </si>
  <si>
    <t>Conference</t>
  </si>
  <si>
    <t>Based on your email, last year's fair was an incredibly positive experience with rewarding conversations with students.</t>
  </si>
  <si>
    <t>Excellent fit. The event attracts the right target group of students and provides a positive recruitment experience.</t>
  </si>
  <si>
    <t>I went last year, it was great. It is free. I have emailed with her and it will happen again this year</t>
  </si>
  <si>
    <t>Preliminary date based on last year's event, waiting for details. Approximately  February 5 2026. She mentioned it would be the same time next year</t>
  </si>
  <si>
    <t>Provence</t>
  </si>
  <si>
    <t>University Fair</t>
  </si>
  <si>
    <t>International Bilingual School of Provence</t>
  </si>
  <si>
    <t>Conference for boarding school students</t>
  </si>
  <si>
    <t>I went last year</t>
  </si>
  <si>
    <t>Feb 19–21, 2026</t>
  </si>
  <si>
    <t>Aarhus</t>
  </si>
  <si>
    <t>u-days</t>
  </si>
  <si>
    <t>Aarhus University</t>
  </si>
  <si>
    <t>Free / Low Cost</t>
  </si>
  <si>
    <t>https://u-days.au.dk/</t>
  </si>
  <si>
    <t>Series of open days.</t>
  </si>
  <si>
    <t>A fair aimed at high school students and those on a gap year to help them choose a university and a city to study in.</t>
  </si>
  <si>
    <t>Excellent fit. The fair targets students at a critical point in their decision-making process, seeking both academic and social fit.</t>
  </si>
  <si>
    <t>Isn't this only to study at Aarhus University? Would they also want to promote other universities</t>
  </si>
  <si>
    <t>Mar 3-4, 2026</t>
  </si>
  <si>
    <t>Manchester</t>
  </si>
  <si>
    <t>UCAS Discovery Fair</t>
  </si>
  <si>
    <t>UCAS</t>
  </si>
  <si>
    <t>Typically Jan/Feb 2026</t>
  </si>
  <si>
    <t>https://www.ucas.com/events</t>
  </si>
  <si>
    <t>Costs provided upon registration inquiry.</t>
  </si>
  <si>
    <t>A large UK-based student fair organized by the country's shared admissions service.</t>
  </si>
  <si>
    <t>Very good fit. Provides direct access to a large audience of UK students and their families.</t>
  </si>
  <si>
    <t>Winchester</t>
  </si>
  <si>
    <t>University of Winchester</t>
  </si>
  <si>
    <t>Venue: University of Winchester.</t>
  </si>
  <si>
    <t>A UCAS fair targeting a specific regional market.</t>
  </si>
  <si>
    <t>Good fit. Offers a focused recruitment opportunity in a particular area.</t>
  </si>
  <si>
    <t>Preliminary date based on last year's event, waiting for details. Approximately  March 10, 2025</t>
  </si>
  <si>
    <t>Oslo</t>
  </si>
  <si>
    <t>College Day Scandinavia Oslo</t>
  </si>
  <si>
    <t>College Day Scandinavia</t>
  </si>
  <si>
    <t>Oslo Handelsgymnasium</t>
  </si>
  <si>
    <t>https://collegedayfairs.org/cds-visitors</t>
  </si>
  <si>
    <t>The venue was a cold, old building and not many students came to my table.</t>
  </si>
  <si>
    <t>Preliminary date based on last year's event, waiting for details. Approximately  March 11, 2025</t>
  </si>
  <si>
    <t>Stockholm</t>
  </si>
  <si>
    <t>College Day Scandinavia Stockholm</t>
  </si>
  <si>
    <t>Victor Rydberg Campus</t>
  </si>
  <si>
    <t>Student interest was heavily concentrated in Economics, Finance, and Data Science. The venue was a beautiful school.</t>
  </si>
  <si>
    <t>Preliminary date based on last year's event, waiting for details. March 12, 2025</t>
  </si>
  <si>
    <t>Copenhagen College Day</t>
  </si>
  <si>
    <t>European School Copenhagen</t>
  </si>
  <si>
    <t>The campus had a funky vibe with very few students. The atmosphere was pretty unprofessional and unplanned.</t>
  </si>
  <si>
    <t>Mar 11-15, 2026</t>
  </si>
  <si>
    <t>AULA Madrid</t>
  </si>
  <si>
    <t>IFEMA MADRID</t>
  </si>
  <si>
    <t>IFEMA - Feria de Madrid</t>
  </si>
  <si>
    <t>Typically Jan 2026</t>
  </si>
  <si>
    <t>https://www.ifema.es/aula</t>
  </si>
  <si>
    <t>Costs for a basic stand.</t>
  </si>
  <si>
    <t>A large fair attracting a very high number of visitors, including students, teachers, and parents.</t>
  </si>
  <si>
    <t>Very good fit. The high attendance and a focus on both students and their families make this a strong recruitment opportunity.</t>
  </si>
  <si>
    <t>Mar 17-18, 2026</t>
  </si>
  <si>
    <t>Exeter</t>
  </si>
  <si>
    <t>Probably not relevant, they say its for a specific market. What is the market?</t>
  </si>
  <si>
    <t>Mar 18–22, 2026</t>
  </si>
  <si>
    <t>Barcelona</t>
  </si>
  <si>
    <t>Saló de l’Ensenyament</t>
  </si>
  <si>
    <t>Fira de Barcelona</t>
  </si>
  <si>
    <t>Typically Feb 2026</t>
  </si>
  <si>
    <t>https://www.ensenyament.com/</t>
  </si>
  <si>
    <t>An essential event for guiding future university students. It provides information on a wide range of educational programs.</t>
  </si>
  <si>
    <t>Very good fit. A key event for students, teachers, and families in Catalonia who are making decisions about their academic and professional future.</t>
  </si>
  <si>
    <t>Worcester</t>
  </si>
  <si>
    <t>University of Worcester</t>
  </si>
  <si>
    <t>Venue: University of Worcester.</t>
  </si>
  <si>
    <t>Mar 20-21, 2026</t>
  </si>
  <si>
    <t>Salon SIEP Liège</t>
  </si>
  <si>
    <t>An education fair in Liège.</t>
  </si>
  <si>
    <t>Good fit. Provides an additional recruitment opportunity in Belgium.</t>
  </si>
  <si>
    <t>Mar 23-24, 2026</t>
  </si>
  <si>
    <t>London Excel</t>
  </si>
  <si>
    <t>Venue: London Excel.</t>
  </si>
  <si>
    <t>A major UCAS fair in the capital city.</t>
  </si>
  <si>
    <t>Very good fit. London is a key hub for student recruitment.</t>
  </si>
  <si>
    <t>Preliminary date based on last year's event, waiting for details. Approximately March 27, 2026</t>
  </si>
  <si>
    <t>Nordic Uni Tour</t>
  </si>
  <si>
    <t>Student interest was in STEM, Engineering, and the military. There were almost more university representatives than students.</t>
  </si>
  <si>
    <t>Preliminary date based on last year's event, waiting for details&lt;br&gt;March 28, 2026</t>
  </si>
  <si>
    <t>Well organized</t>
  </si>
  <si>
    <t>Mar 27-28, 2026</t>
  </si>
  <si>
    <t>Mons</t>
  </si>
  <si>
    <t>Salon SIEP Mons</t>
  </si>
  <si>
    <t>An education fair in Mons.</t>
  </si>
  <si>
    <t>Seems expensive to be in a city that is not Brussels or Antwerp</t>
  </si>
  <si>
    <t>Preliminary date based on last year's event, waiting for details&lt;br&gt;March 31, 2026</t>
  </si>
  <si>
    <t>The venue was gorgeous and serene. The event was well-organized, but not enough good students came.</t>
  </si>
  <si>
    <t>TBA March 2026</t>
  </si>
  <si>
    <t>Jersey</t>
  </si>
  <si>
    <t>St Helier</t>
  </si>
  <si>
    <t>Higher Education Fair</t>
  </si>
  <si>
    <t>Govt. of Jersey</t>
  </si>
  <si>
    <t>https://www.gov.je/</t>
  </si>
  <si>
    <t>Typically a low-cost or free event.</t>
  </si>
  <si>
    <t>A fair aimed at students making their university decisions.</t>
  </si>
  <si>
    <t>Good fit. Offers a targeted audience of students and prospective students from a specific region with a strong interest in international study.</t>
  </si>
  <si>
    <t>Preliminary date based on last year's event, waiting for details. Approximately April 10, 2026</t>
  </si>
  <si>
    <t>EducationUSA University Fair Barcelona</t>
  </si>
  <si>
    <t>EducationUSA</t>
  </si>
  <si>
    <t>The entire event was fantastic, with amazing planning and organization. The only negative was that there weren't many students.</t>
  </si>
  <si>
    <t>One day</t>
  </si>
  <si>
    <t>International School of Helsinki &amp; Skagerak International School</t>
  </si>
  <si>
    <t>The tour will take place all in one week without a weekend in between. Last year, student interest was in STEM, Engineering, and the military.</t>
  </si>
  <si>
    <t>New logistics and details will be shared in the coming months.</t>
  </si>
  <si>
    <t>The previous event had a good turnout, but the students' interests were very specific.</t>
  </si>
  <si>
    <t>Stay tuned for follow-up details from the organizers.</t>
  </si>
  <si>
    <t>No, the organizers will be following up with more details.</t>
  </si>
  <si>
    <t>Tues 14 April</t>
  </si>
  <si>
    <t>The tour will take place all in one week without a weekend in between. Last year, the event was well organized.</t>
  </si>
  <si>
    <t>The event was well organized last year.</t>
  </si>
  <si>
    <t>The tour will take place all in one week without a weekend in between. Last year, the event was well organized, but not enough good students came.</t>
  </si>
  <si>
    <t>The event was well organized last year, but attendance was low.</t>
  </si>
  <si>
    <t>Bournemouth</t>
  </si>
  <si>
    <t>Bournemouth University</t>
  </si>
  <si>
    <t>Typically Feb/Mar 2026</t>
  </si>
  <si>
    <t>Venue: Bournemouth University.</t>
  </si>
  <si>
    <t>Good fit. Provides a focused recruitment opportunity in a particular area.</t>
  </si>
  <si>
    <t>Thurs 16 April</t>
  </si>
  <si>
    <t>Stavanger</t>
  </si>
  <si>
    <t>The tour will take place all in one week without a weekend in between.</t>
  </si>
  <si>
    <t>This is a good fit for recruiting in Norway.</t>
  </si>
  <si>
    <t>Brighton</t>
  </si>
  <si>
    <t>The Brighton Centre</t>
  </si>
  <si>
    <t>Venue: The Brighton Centre.</t>
  </si>
  <si>
    <t>Skagerak/Oslo</t>
  </si>
  <si>
    <t>Skagerak International School &amp; Oslo International School</t>
  </si>
  <si>
    <t>The tour will take place all in one week without a weekend in between. Oslo International School will still have a key contact person, Jacqueline Tollaksen, who can assist with visits.</t>
  </si>
  <si>
    <t>Apr 16-19, 2026</t>
  </si>
  <si>
    <t>Porto</t>
  </si>
  <si>
    <t>Qualifica Porto</t>
  </si>
  <si>
    <t>Exponor</t>
  </si>
  <si>
    <t>Typically Mar 2026</t>
  </si>
  <si>
    <t>https://qualifica.exponor.pt/</t>
  </si>
  <si>
    <t>A large fair focused on education.</t>
  </si>
  <si>
    <t>An education and training fair aimed at students, parents, teachers, and professionals.</t>
  </si>
  <si>
    <t>Good fit. The fair attracts a broad audience interested in different educational and professional pathways, including studying abroad.</t>
  </si>
  <si>
    <t>Apr 22-23, 2026</t>
  </si>
  <si>
    <t>Farnborough</t>
  </si>
  <si>
    <t>Farnborough Int'l Exhibition Centre</t>
  </si>
  <si>
    <t>Venue: Farnborough Int'l Exhibition Centre.</t>
  </si>
  <si>
    <t>Middlesbrough</t>
  </si>
  <si>
    <t>Teesside University</t>
  </si>
  <si>
    <t>Typically Mar/Apr 2026</t>
  </si>
  <si>
    <t>Venue: Teesside University.</t>
  </si>
  <si>
    <t>Preliminary date based on last year's event, waiting for details. Approximately May 12, 2026</t>
  </si>
  <si>
    <t>Antwerp</t>
  </si>
  <si>
    <t>University fair</t>
  </si>
  <si>
    <t>Antwerp International School</t>
  </si>
  <si>
    <t>The students had an interest in Psychology and Business. The event was well-organized, but it was at an awkward time, so not many students were there.</t>
  </si>
  <si>
    <t>International School of Brussel</t>
  </si>
  <si>
    <t>The school was very remote and located in a massive forest. The students were very friendly and had an interest in Psychology, Anthropology, and Business.</t>
  </si>
  <si>
    <t>Preliminary date based on last year's event, waiting for details. Approximately May 19, 2026</t>
  </si>
  <si>
    <t>The United Kingdom</t>
  </si>
  <si>
    <t>Cardiff</t>
  </si>
  <si>
    <t>UWC Wales mini fair</t>
  </si>
  <si>
    <t>UWC Wales</t>
  </si>
  <si>
    <t>The students were fantastic, with an interdisciplinary focus. The venue was a gorgeous castle, but it was low tech. The students were very grateful for the visit.</t>
  </si>
  <si>
    <t>Maidstone</t>
  </si>
  <si>
    <t>Kent Event Centre</t>
  </si>
  <si>
    <t>Typically Apr/May 2026</t>
  </si>
  <si>
    <t>Venue: Kent Event Centre.</t>
  </si>
  <si>
    <t>Jun 3-4, 2026</t>
  </si>
  <si>
    <t>London (East)</t>
  </si>
  <si>
    <t>University of East London</t>
  </si>
  <si>
    <t>Venue: University of East London.</t>
  </si>
  <si>
    <t>A UCAS fair targeting the eastern London market.</t>
  </si>
  <si>
    <t>Good fit. Provides a regional recruitment opportunity in a major city.</t>
  </si>
  <si>
    <t>Newcastle</t>
  </si>
  <si>
    <t>Utilita Arena Newcastle</t>
  </si>
  <si>
    <t>Venue: Utilita Arena Newcastle.</t>
  </si>
  <si>
    <t>Sheffield</t>
  </si>
  <si>
    <t>Utilita Arena Sheffield</t>
  </si>
  <si>
    <t>Venue: Utilita Arena Sheffield.</t>
  </si>
  <si>
    <t>Liverpool</t>
  </si>
  <si>
    <t>ACC Liverpool</t>
  </si>
  <si>
    <t>Venue: ACC Liverpool.</t>
  </si>
  <si>
    <t>Jun 17-18, 2026</t>
  </si>
  <si>
    <t>Leeds</t>
  </si>
  <si>
    <t>Leeds Beckett University</t>
  </si>
  <si>
    <t>Venue: Leeds Beckett University.</t>
  </si>
  <si>
    <t>Hull</t>
  </si>
  <si>
    <t>University of Hull</t>
  </si>
  <si>
    <t>Venue: University of Hull.</t>
  </si>
  <si>
    <t>Jun 22-23, 2026</t>
  </si>
  <si>
    <t>Birmingham</t>
  </si>
  <si>
    <t>NEC Birmingham</t>
  </si>
  <si>
    <t>Venue: NEC Birmingham.</t>
  </si>
  <si>
    <t>A major UCAS fair in a key city.</t>
  </si>
  <si>
    <t>Very good fit. Birmingham is a large urban center with many students.</t>
  </si>
  <si>
    <t>Jun 24-25, 2026</t>
  </si>
  <si>
    <t>Bedford</t>
  </si>
  <si>
    <t>University of Bedfordshire</t>
  </si>
  <si>
    <t>Venue: University of Bedfordshire.</t>
  </si>
  <si>
    <t>Stoke-on-Trent</t>
  </si>
  <si>
    <t>University of Staffordshire</t>
  </si>
  <si>
    <t>Venue: University of Staffordshire.</t>
  </si>
  <si>
    <t>Carlisle</t>
  </si>
  <si>
    <t>University of Cumbria</t>
  </si>
  <si>
    <t>Venue: University of Cumbria.</t>
  </si>
  <si>
    <t>Lincoln</t>
  </si>
  <si>
    <t>University of Lincoln</t>
  </si>
  <si>
    <t>Typically May/Jun 2026</t>
  </si>
  <si>
    <t>Venue: University of Lincoln.</t>
  </si>
  <si>
    <t>TBA July 2026</t>
  </si>
  <si>
    <t>Malta</t>
  </si>
  <si>
    <t>Floriana</t>
  </si>
  <si>
    <t>"I Choose" Fair</t>
  </si>
  <si>
    <t>Min. for Education</t>
  </si>
  <si>
    <t>https://education.gov.mt/</t>
  </si>
  <si>
    <t>The government's main post-secondary guidance fair.</t>
  </si>
  <si>
    <t>A fair targeting all Year 11 students as they complete compulsory education and explore their post-secondary and career options.</t>
  </si>
  <si>
    <t>Excellent fit. The fair is designed to help students at a pivotal moment, and its focus on helping them make informed choices is a strong match.</t>
  </si>
  <si>
    <t>Here's a summary of the key findings from the analysis:</t>
  </si>
  <si>
    <t>Excellent Fit:</t>
  </si>
  <si>
    <t>Fairs like USA College Day (UK), CIS International University Fair (France), are highly recommended. They target high-achieving, internationally-minded students with a strong motivation to study abroad, which aligns perfectly with Minerva's unique model.</t>
  </si>
  <si>
    <t>Strong Fit:</t>
  </si>
  <si>
    <t>Fairs such as Higher Options (Ireland) and the ISCA Education Fairs (Switzerland) are also very good options as they attract the right age group and provide opportunities for direct engagement with students and their families.</t>
  </si>
  <si>
    <t>Poor Fit:</t>
  </si>
  <si>
    <t>I found that the Go Global Fair (Spain) is likely not an appropriate event for recruitment as it is primarily a corporate and business-focused fair. Additionally, the Study in UK Day (Norway) seems to be a specific university's event, not a large-scale student fair.</t>
  </si>
  <si>
    <t xml:space="preserve">Countries included in the list: </t>
  </si>
  <si>
    <t>Andorra, Antarctica, Austria, Belgium, Bonair, Saint Eustatius and Saba, British Indian Ocean Territory, Denmark, Faroe Islands, Finland, France, Germany, Gibraltar, Greenland, Guernsey, Iceland, Ireland (Republic), Italy, Jersey, Liechtenstein, Luxembourg, Malta, Monaco, Netherlands, Norway, Portugal, San Marino, Spain, Sweden, Switzerland, United Kingdom, Vatican City</t>
  </si>
  <si>
    <t>Event Name</t>
  </si>
  <si>
    <t>Time of Event</t>
  </si>
  <si>
    <t>Address</t>
  </si>
  <si>
    <t>Answer the Organizer</t>
  </si>
  <si>
    <t>Record a Presentation</t>
  </si>
  <si>
    <t>Order Fair Materials</t>
  </si>
  <si>
    <t>Book Flights/Hotels</t>
  </si>
  <si>
    <t>Latest Update</t>
  </si>
  <si>
    <t>Hotel 1</t>
  </si>
  <si>
    <t>Hotel 2</t>
  </si>
  <si>
    <t>Hotel 3</t>
  </si>
  <si>
    <t>Hotel 4</t>
  </si>
  <si>
    <t>Main Points from Organizers</t>
  </si>
  <si>
    <t xml:space="preserve">I need to sleep there. Is there a train going back to Nässjö in the evening?  I checked, there are no trains back in the evening. Cause the train leaves 6 minutes after the event ends. There is a train to Växjö at 21.00. But dad doesn't wanna pick me up in the middle of the night. So stay in copenhagen 2 nights. </t>
  </si>
  <si>
    <t>8:00 AM - 7:00 PM</t>
  </si>
  <si>
    <t>Klub, Linnésgade 25, 1361 Copenhagen</t>
  </si>
  <si>
    <t>Awaiting time slot for call week of Sep 15th. Send photo by Sep 15th.</t>
  </si>
  <si>
    <t>Finalizing slides, need to send to organizers.</t>
  </si>
  <si>
    <t>Arrive at 8:30 AM on Sep 20th. Lunch and dinner provided.</t>
  </si>
  <si>
    <t>Email received Sep 1. Practical information and schedule shared.</t>
  </si>
  <si>
    <t>Ibsens Hotel</t>
  </si>
  <si>
    <t>Hotel Kong Arthur</t>
  </si>
  <si>
    <t>Scandic Nørreport</t>
  </si>
  <si>
    <t>25hours Hotel Indre By</t>
  </si>
  <si>
    <t>Confirmed location, detailed schedule provided. Must send presentation slides and a photo by September 15th. A call is requested for the week of September 15th to coordinate.</t>
  </si>
  <si>
    <t>Education USA Madrid</t>
  </si>
  <si>
    <t>The audience was heavily skewed towards post-graduate inquiries, but undergraduate leads were high quality.</t>
  </si>
  <si>
    <t>5:30-7 PM</t>
  </si>
  <si>
    <t>September 26-27, 2025</t>
  </si>
  <si>
    <t>Fri: 2:45pm-7pm, Sat: 9:15am-4pm</t>
  </si>
  <si>
    <t>Kensington Town Hall</t>
  </si>
  <si>
    <t>Confirm if still interested in presenting "The Accomplishment Workshop."</t>
  </si>
  <si>
    <t>Pre-recorded 5-7 minute video of "Accomplishment Workshop" due by Sep 18th.</t>
  </si>
  <si>
    <t>Ship materials via PACK &amp; SEND.</t>
  </si>
  <si>
    <t>Welcome drinks networking reception Friday.</t>
  </si>
  <si>
    <t>Email received Sep 7.</t>
  </si>
  <si>
    <t>Holiday Inn London - Kensington High St.</t>
  </si>
  <si>
    <t>The Kensington</t>
  </si>
  <si>
    <t>Copthorne Tara Hotel London Kensington</t>
  </si>
  <si>
    <t>The Laslett</t>
  </si>
  <si>
    <t>The seminar format has changed to a pre-recorded 5-7 minute video. The video should be submitted by September 18th. The content should focus on the "Accomplishment Workshop" and not sell the university.</t>
  </si>
  <si>
    <t>Framtidsmässan</t>
  </si>
  <si>
    <t>Malmömässan</t>
  </si>
  <si>
    <t>Student interest was overwhelmingly skewed towards Economics and Data Science. The event was well-organized with around 400-500 students.</t>
  </si>
  <si>
    <t>Quality Hotel View</t>
  </si>
  <si>
    <t>Best Western Malmö Arena Hotel</t>
  </si>
  <si>
    <t>Clarion Hotel Malmö Live</t>
  </si>
  <si>
    <t>Scandic Kramer</t>
  </si>
  <si>
    <t>Brussels College Night</t>
  </si>
  <si>
    <t>6-8 PM</t>
  </si>
  <si>
    <t>International School of Brussels</t>
  </si>
  <si>
    <t>Free shuttle from Brussels Central Station to the fair venue. Recommended hotels are Motel One, Hilton Brussels Grand Place Hotel, and Novotel Brussels Off Grand Place.</t>
  </si>
  <si>
    <t>Email sent on Sep 1. More info to follow.</t>
  </si>
  <si>
    <t>Motel One</t>
  </si>
  <si>
    <t>Hilton Brussels Grand Place Hotel</t>
  </si>
  <si>
    <t>Novotel Brussels Off Grand Place</t>
  </si>
  <si>
    <t>The event will be held on September 30th from 6-8 PM at the International School of Brussels. A free shuttle will be provided from Brussels Central Station to the venue. More information about the shuttle will be sent later in the week.</t>
  </si>
  <si>
    <t>Netherlands College Night</t>
  </si>
  <si>
    <t>5:00 - 8:30 PM</t>
  </si>
  <si>
    <t>Jaarbeursplein 6, 3521 AL Utrecht</t>
  </si>
  <si>
    <t>The Netherlands</t>
  </si>
  <si>
    <t>Utrecht</t>
  </si>
  <si>
    <t>Survey coming next week. Contact is Manon Kolsteren.</t>
  </si>
  <si>
    <t>Shuttle option to Luxembourg for those attending that event.</t>
  </si>
  <si>
    <t>Email sent Sep 1.</t>
  </si>
  <si>
    <t>Hampton by Hilton</t>
  </si>
  <si>
    <t>NH Hotels</t>
  </si>
  <si>
    <t>Park Plaza Utrecht</t>
  </si>
  <si>
    <t>Crowne Plaza Utrecht</t>
  </si>
  <si>
    <t>The event is on October 1st. Table set-up is from 5-6 PM with food and drinks provided. The fair is from 6-8:30 PM. The venue is a 5-minute walk from Utrecht Central Station. A shuttle option to Luxembourg is available.</t>
  </si>
  <si>
    <t>Export to Sheets</t>
  </si>
  <si>
    <t>Travel Budget Linnea Moritz Alumni Ambassador FY26</t>
  </si>
  <si>
    <t>Date</t>
  </si>
  <si>
    <t>Purpose</t>
  </si>
  <si>
    <t>Type</t>
  </si>
  <si>
    <t>Time</t>
  </si>
  <si>
    <t>Transport / Company</t>
  </si>
  <si>
    <t>Link to Ticket</t>
  </si>
  <si>
    <t>Cost in Local Currency</t>
  </si>
  <si>
    <t>Cost in USD</t>
  </si>
  <si>
    <t>NSAC CONFERENCE, Klub, Linnésgade 25, 1361 Copenhagen, Denmark, 8:00 AM - 7:00 PM, September 20, 2025</t>
  </si>
  <si>
    <t>Travel to conference</t>
  </si>
  <si>
    <t>Train</t>
  </si>
  <si>
    <t>10:30 -&gt; 14:39</t>
  </si>
  <si>
    <t>SJ (Jönköpings Länstrafik, Krösatåg, Öresundståg)</t>
  </si>
  <si>
    <t>SJ</t>
  </si>
  <si>
    <t>SEK</t>
  </si>
  <si>
    <t>Lodging</t>
  </si>
  <si>
    <t>Hotel/Hostel</t>
  </si>
  <si>
    <t>Check-in Friday night</t>
  </si>
  <si>
    <t>Generator Hostel</t>
  </si>
  <si>
    <t>Link</t>
  </si>
  <si>
    <t>Local transportation</t>
  </si>
  <si>
    <t>Subway</t>
  </si>
  <si>
    <t>Din Offentlige Transport</t>
  </si>
  <si>
    <t>DOT</t>
  </si>
  <si>
    <t>DKK</t>
  </si>
  <si>
    <t>Travel from conference</t>
  </si>
  <si>
    <t>13:14 -&gt; 17:28</t>
  </si>
  <si>
    <t>SJ (Öresundståg, Krösatåg, Jönköpings Länstrafik)</t>
  </si>
  <si>
    <t>Check-in Saturday night</t>
  </si>
  <si>
    <t>N/A</t>
  </si>
  <si>
    <t>Food expense</t>
  </si>
  <si>
    <t>Food</t>
  </si>
  <si>
    <t>The calculation is based on 5 meals (Friday dinner, Saturday breakfast/lunch/dinner, and Sunday breakfast). A meal cost of 100 DKK is a reasonable estimate based on the average cost of an inexpensive meal in Copenhagen. The total cost is (5 meals x 100 DKK) = 500 DKK.</t>
  </si>
  <si>
    <t xml:space="preserve">Total: </t>
  </si>
  <si>
    <t>USA COLLEGE DAY LONDON, Kensington Town Hall, Hornton St, London, W8 7NX, UK, Fri: 2:45pm-7pm, Sat: 9:15am-4pm, September 26-27, 2025</t>
  </si>
  <si>
    <t>Thur, Sep 25</t>
  </si>
  <si>
    <t>Flight: Stockholm -&gt; London</t>
  </si>
  <si>
    <t>12:40 PM -&gt; 2:10 PM</t>
  </si>
  <si>
    <t>Ryanair (operated by Malta Air)</t>
  </si>
  <si>
    <t>Flight: Gothenburg -&gt; London</t>
  </si>
  <si>
    <t>10:50 AM -&gt; 12:45 PM</t>
  </si>
  <si>
    <t>Ryanair</t>
  </si>
  <si>
    <t>9:40 AM -&gt; 11:50 AM</t>
  </si>
  <si>
    <t>Norwegian</t>
  </si>
  <si>
    <t>Comfotel PRPL</t>
  </si>
  <si>
    <t>GDP</t>
  </si>
  <si>
    <t>Train: London -&gt; Brussels</t>
  </si>
  <si>
    <t>4:04 PM -&gt; 7:05 PM</t>
  </si>
  <si>
    <t>Eurostar</t>
  </si>
  <si>
    <t>The policy allows for reimbursement of up to three meals per day. Please use a reasonable estimate for a meal in London.</t>
  </si>
  <si>
    <t>[Total Cost in GBP]</t>
  </si>
  <si>
    <t>[Total Cost in USD]</t>
  </si>
  <si>
    <t>Approximately</t>
  </si>
  <si>
    <t>Tube/Bus/Rideshare</t>
  </si>
  <si>
    <t>Transport for London</t>
  </si>
  <si>
    <t>[Link to Oyster card/ticket info]</t>
  </si>
  <si>
    <t>BRUSSELS COLLEGE NIGHT, International School of Brussels, Kattenberg 19, 1170 Watermael-Boitsfort, Brussels, Belgium, 6-8 PM, September 30, 2025</t>
  </si>
  <si>
    <t>Travel to Brussels</t>
  </si>
  <si>
    <t>Morning</t>
  </si>
  <si>
    <t>£35</t>
  </si>
  <si>
    <t>Check-in Sunday night</t>
  </si>
  <si>
    <t>Hotel Evergreen</t>
  </si>
  <si>
    <t>Link to Booking</t>
  </si>
  <si>
    <t>Check-in Monday night</t>
  </si>
  <si>
    <t>Euro</t>
  </si>
  <si>
    <t>Meals</t>
  </si>
  <si>
    <t>Various</t>
  </si>
  <si>
    <t>Link to Restaurant</t>
  </si>
  <si>
    <t>Local Transport</t>
  </si>
  <si>
    <t>Public Transit</t>
  </si>
  <si>
    <t>Brussels Metro</t>
  </si>
  <si>
    <t>NETHERLANDS COLLEGE NIGHT, Jaarbeurs, Jaarbeursplein 6, 3521 AL Utrecht, Netherlands, 5:00 - 8:30 PM, October 1, 2025</t>
  </si>
  <si>
    <t>Travel to Utrecht</t>
  </si>
  <si>
    <t>8:57 AM or 9:57 AM</t>
  </si>
  <si>
    <t>NS International / Eurostar / SNCB</t>
  </si>
  <si>
    <t>-</t>
  </si>
  <si>
    <t>$29.30-$70.32</t>
  </si>
  <si>
    <t>Check-in Tuesday night</t>
  </si>
  <si>
    <t>COLLEGE/CAREER FAIR, Vilseck High School MPR, Unit 28041, Building #1801, APO, AE, Germany, 09112, 5:30-7 PM, October 15, 2025</t>
  </si>
  <si>
    <t>Contact Type</t>
  </si>
  <si>
    <t>Name/School Name</t>
  </si>
  <si>
    <t>Title/Role</t>
  </si>
  <si>
    <t>School Name</t>
  </si>
  <si>
    <t>Location</t>
  </si>
  <si>
    <t>Email Address</t>
  </si>
  <si>
    <t>Phone Number</t>
  </si>
  <si>
    <t>Relationship Status</t>
  </si>
  <si>
    <t>Last Email Received</t>
  </si>
  <si>
    <t>Notes/Next Steps</t>
  </si>
  <si>
    <t>Date of Last Contact</t>
  </si>
  <si>
    <t>School councelor</t>
  </si>
  <si>
    <t>Mark Chalkley</t>
  </si>
  <si>
    <t>Senior University Counsellor, Student Advisor</t>
  </si>
  <si>
    <t>UWC Red Cross Nordic (UWC RCN)</t>
  </si>
  <si>
    <t>Flekke, Norway</t>
  </si>
  <si>
    <t>(Not provided)</t>
  </si>
  <si>
    <t>Tel: +47 5773 7098, Mob +47 4580 4973</t>
  </si>
  <si>
    <t xml:space="preserve">Very established Relationship, good friends, he was Linnea's school councelor, he is the reason Linnea went to Minerva </t>
  </si>
  <si>
    <t>"Hi Linnea! I will be sure to share your contact details and the link to upcoming events with all of our second years... we also accept any visits on any weekend so November would work well and if you avoid the weekend of 7th to 9th November a weekend could be all yours!"</t>
  </si>
  <si>
    <t>Mark is open to a weekend visit in November, with the exception of Nov 7-9. Follow up to confirm a specific date.</t>
  </si>
  <si>
    <t>Ognjen Dedagić / UWC Adriatic</t>
  </si>
  <si>
    <t>University Counselor</t>
  </si>
  <si>
    <t>UWC Adriatic</t>
  </si>
  <si>
    <t>Duino Aurisina, ITALY</t>
  </si>
  <si>
    <t>ognen.dedagic@uwcad.it</t>
  </si>
  <si>
    <t>Professional contact; shared UWC community</t>
  </si>
  <si>
    <t>Dear Linnea, although we generally welcome all visits from universities we do have a policy and a recommended timing for the visits. The days you suggested are really not ideal as the IBDP1 students still have to have the first big university applications meeting on the 14th of April and we usually do not host university talks before that event. Obviously, the Fall is the best moment to reach out to students (we have 40-50 institutions visiting each Fall). I understand that you might be in the area now so the only thing that could be arranged is a more informal chat on Wednesday the 9th in the afternoon. I can advertise that you will be visiting and potentially interested student (who do not have CAS commitments) could come... Let me know, - Suggested potential visit dates: Sep 25, Oct 7, Oct 10, Nov 5, and Nov 7.</t>
  </si>
  <si>
    <t>Suggested potential visit dates: Sep 25, Oct 7, Oct 10, Nov 5, and Nov 7. - get back to him with my planned dates.</t>
  </si>
  <si>
    <t>Iva Hořejší / UWC Robert Bosch College</t>
  </si>
  <si>
    <t>Alumni Engagement Coordinator and Career Counsellor</t>
  </si>
  <si>
    <t>UWC Robert Bosch College</t>
  </si>
  <si>
    <t>Freiburg, Germany</t>
  </si>
  <si>
    <t>iva.horejsi@uwcrobertboschcollege.de</t>
  </si>
  <si>
    <t>Shared UWC alumni connection</t>
  </si>
  <si>
    <t>Coordinate a visit with Linnea and Patrice for a talk with Global Politics students. I think its best if only Patrice goes, as she is the Provost and has higher ranking</t>
  </si>
  <si>
    <t>Cristina Mocanu</t>
  </si>
  <si>
    <t>University Counselor, CAS Coordinator</t>
  </si>
  <si>
    <t>H-FARM International School Venezia</t>
  </si>
  <si>
    <t>Roncade, Treviso, Italy</t>
  </si>
  <si>
    <t>cristina.mocanu@h-is.com</t>
  </si>
  <si>
    <t>"+39 0422 789503"</t>
  </si>
  <si>
    <t>Established Relationship (Met in person, recorded a seminar, had lunch)</t>
  </si>
  <si>
    <t>"Dear Linnea, It was a pleasure having you on campus today. As per our discussion I would love it if you could connect our CEO, Mr Antonello Barbaro with someone from San Francisco to explore partnership projects together."</t>
  </si>
  <si>
    <t>Connect her CEO, Antonello Barbaro, with a contact from San Francisco to explore partnership projects.</t>
  </si>
  <si>
    <t>Daniela De Vido</t>
  </si>
  <si>
    <t>School Librarian / University Advisor / Exam Officer</t>
  </si>
  <si>
    <t>O.M.C. Collegio Vescovile Pio X</t>
  </si>
  <si>
    <t>Treviso, Italy</t>
  </si>
  <si>
    <t>daniela.devido@collegiopiox.it</t>
  </si>
  <si>
    <t>"+39 3472946387", "+39 0422-411725"</t>
  </si>
  <si>
    <t>Established Relationship (Had an in-person meeting)</t>
  </si>
  <si>
    <t xml:space="preserve">Meeting at her school </t>
  </si>
  <si>
    <t>In-person visit successfully completed despite a train delay. Students had a tight schedule. Re-establish contact to follow up on the visit and see if any students were interested.</t>
  </si>
  <si>
    <t>IB Coordinator &amp; Teacher</t>
  </si>
  <si>
    <t>Janine Bokor</t>
  </si>
  <si>
    <t>Per Brahe Gymnasiet</t>
  </si>
  <si>
    <t>Jönköping, Sweden</t>
  </si>
  <si>
    <t>janine.bokor@jonkoping.se</t>
  </si>
  <si>
    <t>Professional contact; Linnea is an alumna of the school</t>
  </si>
  <si>
    <t>Confirmed meeting for a presentation on Jan 29 at 15:20. Linnea asked about presentation length and technical setup. Great success with a presentation last year.</t>
  </si>
  <si>
    <t>School Counselor</t>
  </si>
  <si>
    <t>Tracy King</t>
  </si>
  <si>
    <t>University and Careers guidance counsellor</t>
  </si>
  <si>
    <t>British International School of Stockholm</t>
  </si>
  <si>
    <t>Danderyd, Sweden</t>
  </si>
  <si>
    <t>t.king@bisstockholm.se</t>
  </si>
  <si>
    <t>Established Relationship</t>
  </si>
  <si>
    <t>Meeting at her school  on Jan 2025, we had a good meeting. They are interested in the Finding your fit workshop.</t>
  </si>
  <si>
    <t>Initial contact in November 2024 led to a confirmed in-person meeting in January 2025 at the Ekeby Campus. Follow up to see how the visit went.</t>
  </si>
  <si>
    <t>Study and Career Counselor</t>
  </si>
  <si>
    <t>Lotta Seger</t>
  </si>
  <si>
    <t>Sven Eriksonsgymnasiet</t>
  </si>
  <si>
    <t>Borås, Sweden</t>
  </si>
  <si>
    <t>lotta.seger@boras.se</t>
  </si>
  <si>
    <t>0768-88 32 06</t>
  </si>
  <si>
    <t>Professional Contact, email only</t>
  </si>
  <si>
    <t>Email only</t>
  </si>
  <si>
    <t>Did not attend their fair. Wants to email again to ask if they will have a fair this year.</t>
  </si>
  <si>
    <t>University Counselor, IB CAS Coordinator</t>
  </si>
  <si>
    <t>Marjorana Karathanasis</t>
  </si>
  <si>
    <t>American School of Milan</t>
  </si>
  <si>
    <t>Milan, Italy</t>
  </si>
  <si>
    <t>mkarathanasis@asmilan.org</t>
  </si>
  <si>
    <t>(+39) 02 53000059</t>
  </si>
  <si>
    <t xml:space="preserve">Professional Contact, met her in person </t>
  </si>
  <si>
    <t xml:space="preserve">Meeting at her school  on Jan 2025 </t>
  </si>
  <si>
    <t>Confirmed a visit for a university fair on April 11 from 12:25-1:20. Was asked to arrive at 11:45.</t>
  </si>
  <si>
    <t>IB Guidance and Careers Counselor</t>
  </si>
  <si>
    <t>Anu Havula</t>
  </si>
  <si>
    <t>Helsingin Suomalainen Yhteskoulu (SYK)</t>
  </si>
  <si>
    <t>Helsinki, Finland</t>
  </si>
  <si>
    <t>anu.havula@syk.fi</t>
  </si>
  <si>
    <t xml:space="preserve">She never responded to my email </t>
  </si>
  <si>
    <t>Met at the Helsinki Nordic Uni Tour in spring 2025, where you had a great conversation. The email was a follow-up to this meeting to introduce Minerva and propose a visit. Anu responded positively and confirmed she would love for you to visit. She is an IB Guidance and Careers Counselor at a top-ranked IB school with an average student score of 37/45.</t>
  </si>
  <si>
    <t>School</t>
  </si>
  <si>
    <t>Event Style</t>
  </si>
  <si>
    <t>Typical Timing</t>
  </si>
  <si>
    <t>How to Engage</t>
  </si>
  <si>
    <t>UWC Atlantic&lt;br&gt;(United Kingdom)</t>
  </si>
  <si>
    <t>Coordinated University Visits</t>
  </si>
  <si>
    <t>September - November 2025</t>
  </si>
  <si>
    <t>Contact the University &amp; Careers Counselling office directly via the school's website. They have a formal process for scheduling university representative visits.</t>
  </si>
  <si>
    <t>UWC Adriatic&lt;br&gt;(Italy)</t>
  </si>
  <si>
    <t>University Visits &amp; Small Fairs</t>
  </si>
  <si>
    <t>October - November 2025</t>
  </si>
  <si>
    <t>This school is known for hosting both individual university visits and a few small, themed fairs (e.g., for US or UK universities). Contact their University Counseling team to get on their schedule.</t>
  </si>
  <si>
    <t>UWC Maastricht&lt;br&gt;(Netherlands)</t>
  </si>
  <si>
    <t>Annual University Fair</t>
  </si>
  <si>
    <t>Usually October/November 2025</t>
  </si>
  <si>
    <t>Because of its larger size, UWC Maastricht often hosts a more traditional, albeit private, university fair on its campus. This is a key event. Contact their College Counselling office for an invitation.</t>
  </si>
  <si>
    <t>UWC Robert Bosch College&lt;br&gt;(Germany)</t>
  </si>
  <si>
    <t>University Visits Program</t>
  </si>
  <si>
    <t>They manage a busy calendar of university visitors. You must schedule a visit directly with their University Counsellors. They also have a public "Open Day" (Tag der offenen Tür) on September 27, 2025, which could be a networking opportunity.</t>
  </si>
  <si>
    <t>UWC Red Cross Nordic&lt;br&gt;(Norway)</t>
  </si>
  <si>
    <t>They host a series of university presentations. Due to their more remote location, visits are carefully scheduled. Contact their University Counsellors well in advance.</t>
  </si>
  <si>
    <t>Country / Region</t>
  </si>
  <si>
    <t>Focus / Mission</t>
  </si>
  <si>
    <t>Pricing &amp; Engagement Model</t>
  </si>
  <si>
    <t>OeAD</t>
  </si>
  <si>
    <t>Austria's main agency for education and internationalisation. Manages exchange programs.</t>
  </si>
  <si>
    <t>Free Outreach &amp; Paid Events</t>
  </si>
  <si>
    <t>https://oead.at/en/</t>
  </si>
  <si>
    <t>Study in Austria</t>
  </si>
  <si>
    <t>The official national portal for international students, run by OeAD.</t>
  </si>
  <si>
    <t>Free Information Resource</t>
  </si>
  <si>
    <t>https://www.studyinaustria.at/</t>
  </si>
  <si>
    <t>AEF-Europe</t>
  </si>
  <si>
    <t>Belgium (French Community)</t>
  </si>
  <si>
    <t>The Erasmus+ agency for French-speaking Belgium, facilitating mobility.</t>
  </si>
  <si>
    <t>Free Outreach (Program-based)</t>
  </si>
  <si>
    <t>https://www.aef-europe.be/</t>
  </si>
  <si>
    <t>EPOS</t>
  </si>
  <si>
    <t>Belgium (Flemish Community)</t>
  </si>
  <si>
    <t>The Erasmus+ agency for the Flemish Community, facilitating mobility.</t>
  </si>
  <si>
    <t>https://www.epos-vlaanderen.be/</t>
  </si>
  <si>
    <t>Study in Flanders</t>
  </si>
  <si>
    <t>Belgium (Flanders)</t>
  </si>
  <si>
    <t>Official portal for promoting higher education in Flanders.</t>
  </si>
  <si>
    <t>https://www.studyinflanders.be/</t>
  </si>
  <si>
    <t>Ministry of Higher Education &amp; Science</t>
  </si>
  <si>
    <t>Official government body. Runs the "Study in Denmark" portal.</t>
  </si>
  <si>
    <t>Free Outreach</t>
  </si>
  <si>
    <t>https://ufm.dk/en</t>
  </si>
  <si>
    <t>Study in Denmark</t>
  </si>
  <si>
    <t>The official national portal for international students.</t>
  </si>
  <si>
    <t>https://studyindenmark.dk/</t>
  </si>
  <si>
    <t>EDUFI</t>
  </si>
  <si>
    <t>Finnish National Agency for Education; manages "Study in Finland".</t>
  </si>
  <si>
    <t>Free Outreach &amp; Paid Campaigns</t>
  </si>
  <si>
    <t>https://www.oph.fi/en</t>
  </si>
  <si>
    <t>Study in Finland</t>
  </si>
  <si>
    <t>https://www.studyinfinland.fi/</t>
  </si>
  <si>
    <t>Campus France</t>
  </si>
  <si>
    <t>Official government agency for promoting French higher education.</t>
  </si>
  <si>
    <t>Membership-Based &amp; Event Fees</t>
  </si>
  <si>
    <t>https://www.campusfrance.org/en</t>
  </si>
  <si>
    <t>L'Etudiant</t>
  </si>
  <si>
    <t>A major private media company with hugely popular fairs and student resources.</t>
  </si>
  <si>
    <t>Paid Advertising &amp; Fair Fees</t>
  </si>
  <si>
    <t>https://www.letudiant.fr/</t>
  </si>
  <si>
    <t>DAAD</t>
  </si>
  <si>
    <t>German Academic Exchange Service; the primary promotional body.</t>
  </si>
  <si>
    <t>Free &amp; Paid Services</t>
  </si>
  <si>
    <t>https://www.daad.de/en/</t>
  </si>
  <si>
    <t>Study in Germany</t>
  </si>
  <si>
    <t>The official national portal for international students, run by DAAD.</t>
  </si>
  <si>
    <t>https://www.study-in-germany.de/en/</t>
  </si>
  <si>
    <t>KMK (Kultusministerkonferenz)</t>
  </si>
  <si>
    <t>The Standing Conference of the Ministers of Education and Cultural Affairs of the Länder.</t>
  </si>
  <si>
    <t>Free Outreach (Policy-level)</t>
  </si>
  <si>
    <t>https://www.kmk.org/</t>
  </si>
  <si>
    <t>Rannís</t>
  </si>
  <si>
    <t>Iceland</t>
  </si>
  <si>
    <t>The Icelandic Centre for Research; manages Erasmus+ and "Study in Iceland".</t>
  </si>
  <si>
    <t>https://en.rannis.is/</t>
  </si>
  <si>
    <t>Study in Iceland</t>
  </si>
  <si>
    <t>https://www.studyiniceland.is/</t>
  </si>
  <si>
    <t>Education in Ireland</t>
  </si>
  <si>
    <t>The national brand promoting Irish Higher Education Institutions.</t>
  </si>
  <si>
    <t>Partnership &amp; Event Fees</t>
  </si>
  <si>
    <t>https://www.educationinireland.com/</t>
  </si>
  <si>
    <t>HEA (Higher Education Authority)</t>
  </si>
  <si>
    <t>The statutory policy-advisory body for higher education.</t>
  </si>
  <si>
    <t>https://hea.ie/</t>
  </si>
  <si>
    <t>Uni-Italia</t>
  </si>
  <si>
    <t>Italy</t>
  </si>
  <si>
    <t>Official association for promoting Italian higher education abroad.</t>
  </si>
  <si>
    <t>Membership &amp; Service Fees</t>
  </si>
  <si>
    <t>https://www.uni-italia.net/</t>
  </si>
  <si>
    <t>Ministero dell'Università e della Ricerca</t>
  </si>
  <si>
    <t>The government ministry for University and Research.</t>
  </si>
  <si>
    <t>https://www.mur.gov.it/it</t>
  </si>
  <si>
    <t>MESR</t>
  </si>
  <si>
    <t>Ministry of Higher Education and Research.</t>
  </si>
  <si>
    <t>https://mesr.gouvernement.lu/en.html</t>
  </si>
  <si>
    <t>anefore</t>
  </si>
  <si>
    <t>The national agency for the Erasmus+ programme in Luxembourg.</t>
  </si>
  <si>
    <t>https://www.anefore.lu/</t>
  </si>
  <si>
    <t>Ministry for Education</t>
  </si>
  <si>
    <t>The government ministry overseeing education and promotion.</t>
  </si>
  <si>
    <t>Free Outreach &amp; Event Sponsorship</t>
  </si>
  <si>
    <t>Nuffic</t>
  </si>
  <si>
    <t>The Dutch organization for internationalization in education.</t>
  </si>
  <si>
    <t>https://www.nuffic.nl/en</t>
  </si>
  <si>
    <t>Study in Holland</t>
  </si>
  <si>
    <t>https://www.studyinholland.nl/</t>
  </si>
  <si>
    <t>HK-dir</t>
  </si>
  <si>
    <t>Directorate for Higher Education and Skills; runs "Study in Norway".</t>
  </si>
  <si>
    <t>https://hkdir.no/en/</t>
  </si>
  <si>
    <t>Study in Norway</t>
  </si>
  <si>
    <t>https://www.studyinnorway.no/</t>
  </si>
  <si>
    <t>DGES</t>
  </si>
  <si>
    <t>Directorate-General for Higher Education; runs "Study &amp; Research in Portugal".</t>
  </si>
  <si>
    <t>https://www.dges.gov.pt/en</t>
  </si>
  <si>
    <t>Study &amp; Research in Portugal</t>
  </si>
  <si>
    <t>https://www.study-research.pt/</t>
  </si>
  <si>
    <t>SEPIE</t>
  </si>
  <si>
    <t>Spanish Service for the Internationalization of Education.</t>
  </si>
  <si>
    <t>https://www.sepie.es/</t>
  </si>
  <si>
    <t>Study in Spain</t>
  </si>
  <si>
    <t>https://www.studyinspain.info/</t>
  </si>
  <si>
    <t>UHR</t>
  </si>
  <si>
    <t>Swedish Council for Higher Education; runs "Study in Sweden".</t>
  </si>
  <si>
    <t>https://www.uhr.se/en/</t>
  </si>
  <si>
    <t>Study in Sweden</t>
  </si>
  <si>
    <t>https://studyinsweden.se/</t>
  </si>
  <si>
    <t>swissuniversities</t>
  </si>
  <si>
    <t>The rectors' conference of the Swiss universities.</t>
  </si>
  <si>
    <t>https://www.swissuniversities.ch/en/</t>
  </si>
  <si>
    <t>Movetia</t>
  </si>
  <si>
    <t>Swiss agency for exchange and mobility.</t>
  </si>
  <si>
    <t>https://www.movetia.ch/en</t>
  </si>
  <si>
    <t>British Council</t>
  </si>
  <si>
    <t>The UK's international organization for cultural and educational opportunities.</t>
  </si>
  <si>
    <t>Paid Services</t>
  </si>
  <si>
    <t>https://www.britishcouncil.org/</t>
  </si>
  <si>
    <t>The Universities and Colleges Admissions Service is the central application portal.</t>
  </si>
  <si>
    <t>https://www.ucas.com/</t>
  </si>
  <si>
    <t>UWC School</t>
  </si>
  <si>
    <t>Approximate Percentage of Students Receiving Financial Aid (Full or Partial Scholarship)</t>
  </si>
  <si>
    <t>Notes</t>
  </si>
  <si>
    <t>🇩🇪 Germany</t>
  </si>
  <si>
    <t>~96%</t>
  </si>
  <si>
    <t>This is the highest percentage reported among the UWC schools, with 65% receiving a full scholarship.</t>
  </si>
  <si>
    <t>UWC Mostar</t>
  </si>
  <si>
    <t>🇧🇦 Bosnia &amp; Herzegovina</t>
  </si>
  <si>
    <t>Near 100%</t>
  </si>
  <si>
    <t>UWC Mostar is highly focused on meeting the full demonstrated need of admitted students, similar to the German college.</t>
  </si>
  <si>
    <t>UWC Red Cross Nordic</t>
  </si>
  <si>
    <t>🇳🇴 Norway</t>
  </si>
  <si>
    <t>&gt;80%</t>
  </si>
  <si>
    <t>The vast majority of students selected by a National Committee receive full or partial support, which is often government-backed.</t>
  </si>
  <si>
    <t>🇮🇹 Italy</t>
  </si>
  <si>
    <t>~92%</t>
  </si>
  <si>
    <t>About three-quarters of the student body receive partial scholarships, and about 17% receive full scholarships.</t>
  </si>
  <si>
    <t>UWC Maastricht</t>
  </si>
  <si>
    <t>🇳🇱 Netherlands</t>
  </si>
  <si>
    <t>&gt;70%</t>
  </si>
  <si>
    <t>The most recent figures indicate over 70% of the graduating class (residential students) receive need-based scholarships.</t>
  </si>
  <si>
    <t>UWC Atlantic</t>
  </si>
  <si>
    <t>🇬🇧 Wales, UK</t>
  </si>
  <si>
    <t>&gt;65%</t>
  </si>
  <si>
    <t>Over 65% of National Committee-selected students receive financial aid. The college is actively working to increase the equivalent of full scholarships from the current 35% to 60% by 2032.</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</si>
</sst>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mmmm d, yyyy"/>
    <numFmt numFmtId="165" formatCode="mmm d, yyyy"/>
    <numFmt numFmtId="166" formatCode="dddd, mmmm d, yyyy"/>
    <numFmt numFmtId="167" formatCode="ddd, mmm d"/>
    <numFmt numFmtId="168" formatCode="#,##0.00[$ kr]"/>
    <numFmt numFmtId="169" formatCode="[$$]#,##0.00"/>
    <numFmt numFmtId="170" formatCode="#,##0.00[$ kr.]"/>
    <numFmt numFmtId="171" formatCode="[$£]#,##0.00"/>
    <numFmt numFmtId="172" formatCode="mmm d"/>
    <numFmt numFmtId="173" formatCode="&quot;$&quot;#,##0.00"/>
    <numFmt numFmtId="174" formatCode="&quot;€&quot;#,##0"/>
    <numFmt numFmtId="175" formatCode="[$€]#,##0.00"/>
    <numFmt numFmtId="176" formatCode="yyyy-mm-dd"/>
  </numFmts>
  <fonts count="13">
    <font>
      <sz val="10.0"/>
      <color rgb="FF000000"/>
      <name val="Arial"/>
      <scheme val="minor"/>
    </font>
    <font>
      <b/>
      <color theme="1"/>
      <name val="Arial"/>
    </font>
    <font>
      <color theme="1"/>
      <name val="Arial"/>
    </font>
    <font>
      <u/>
      <color rgb="FF1155CC"/>
      <name val="Arial"/>
    </font>
    <font>
      <sz val="11.0"/>
      <color theme="1"/>
      <name val="Arial"/>
    </font>
    <font>
      <color theme="1"/>
      <name val="Arial"/>
      <scheme val="minor"/>
    </font>
    <font>
      <b/>
      <color theme="1"/>
      <name val="Arial"/>
      <scheme val="minor"/>
    </font>
    <font>
      <b/>
      <sz val="13.0"/>
      <color theme="1"/>
      <name val="Arial"/>
      <scheme val="minor"/>
    </font>
    <font>
      <u/>
      <color rgb="FF0000FF"/>
    </font>
    <font>
      <i/>
      <color theme="1"/>
      <name val="Arial"/>
      <scheme val="minor"/>
    </font>
    <font>
      <u/>
      <color rgb="FF0000FF"/>
    </font>
    <font>
      <b/>
      <sz val="14.0"/>
      <color theme="1"/>
      <name val="Arial"/>
      <scheme val="minor"/>
    </font>
    <font>
      <u/>
      <color rgb="FF1155CC"/>
      <name val="Arial"/>
    </font>
  </fonts>
  <fills count="4">
    <fill>
      <patternFill patternType="none"/>
    </fill>
    <fill>
      <patternFill patternType="lightGray"/>
    </fill>
    <fill>
      <patternFill patternType="solid">
        <fgColor rgb="FFF3F3F3"/>
        <bgColor rgb="FFF3F3F3"/>
      </patternFill>
    </fill>
    <fill>
      <patternFill patternType="solid">
        <fgColor rgb="FFD9D9D9"/>
        <bgColor rgb="FFD9D9D9"/>
      </patternFill>
    </fill>
  </fills>
  <borders count="1">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2" fontId="1" numFmtId="0" xfId="0" applyAlignment="1" applyFill="1" applyFont="1">
      <alignment vertical="bottom"/>
    </xf>
    <xf borderId="0" fillId="2" fontId="1" numFmtId="0" xfId="0" applyAlignment="1" applyFont="1">
      <alignment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49" xfId="0" applyAlignment="1" applyFont="1" applyNumberFormat="1">
      <alignment shrinkToFit="0" vertical="bottom" wrapText="1"/>
    </xf>
    <xf borderId="0" fillId="0" fontId="3" numFmtId="0" xfId="0" applyAlignment="1" applyFont="1">
      <alignment shrinkToFit="0" vertical="bottom" wrapText="1"/>
    </xf>
    <xf borderId="0" fillId="0" fontId="2" numFmtId="164" xfId="0" applyAlignment="1" applyFont="1" applyNumberFormat="1">
      <alignment horizontal="right" shrinkToFit="0" vertical="bottom" wrapText="1"/>
    </xf>
    <xf borderId="0" fillId="0" fontId="2" numFmtId="49" xfId="0" applyAlignment="1" applyFont="1" applyNumberFormat="1">
      <alignment vertical="bottom"/>
    </xf>
    <xf borderId="0" fillId="0" fontId="2" numFmtId="165" xfId="0" applyAlignment="1" applyFont="1" applyNumberFormat="1">
      <alignment horizontal="right" vertical="bottom"/>
    </xf>
    <xf borderId="0" fillId="0" fontId="2" numFmtId="165" xfId="0" applyAlignment="1" applyFont="1" applyNumberFormat="1">
      <alignment horizontal="right" shrinkToFit="0" vertical="bottom" wrapText="1"/>
    </xf>
    <xf borderId="0" fillId="0" fontId="2" numFmtId="166" xfId="0" applyAlignment="1" applyFont="1" applyNumberFormat="1">
      <alignment horizontal="right" shrinkToFit="0" vertical="bottom" wrapText="1"/>
    </xf>
    <xf borderId="0" fillId="0" fontId="2" numFmtId="165" xfId="0" applyAlignment="1" applyFont="1" applyNumberFormat="1">
      <alignment shrinkToFit="0" vertical="bottom" wrapText="1"/>
    </xf>
    <xf borderId="0" fillId="0" fontId="2" numFmtId="164" xfId="0" applyAlignment="1" applyFont="1" applyNumberFormat="1">
      <alignment horizontal="right" vertical="bottom"/>
    </xf>
    <xf borderId="0" fillId="0" fontId="1" numFmtId="0" xfId="0" applyAlignment="1" applyFont="1">
      <alignment shrinkToFit="0" vertical="bottom" wrapText="1"/>
    </xf>
    <xf borderId="0" fillId="0" fontId="4" numFmtId="0" xfId="0" applyAlignment="1" applyFont="1">
      <alignment shrinkToFit="0" vertical="bottom" wrapText="1"/>
    </xf>
    <xf borderId="0" fillId="0" fontId="5" numFmtId="0" xfId="0" applyAlignment="1" applyFont="1">
      <alignment readingOrder="0" shrinkToFit="0" wrapText="1"/>
    </xf>
    <xf borderId="0" fillId="0" fontId="5" numFmtId="0" xfId="0" applyAlignment="1" applyFont="1">
      <alignment shrinkToFit="0" wrapText="1"/>
    </xf>
    <xf borderId="0" fillId="0" fontId="6" numFmtId="0" xfId="0" applyAlignment="1" applyFont="1">
      <alignment readingOrder="0" shrinkToFit="0" wrapText="1"/>
    </xf>
    <xf borderId="0" fillId="0" fontId="5" numFmtId="164" xfId="0" applyAlignment="1" applyFont="1" applyNumberFormat="1">
      <alignment readingOrder="0" shrinkToFit="0" wrapText="1"/>
    </xf>
    <xf borderId="0" fillId="0" fontId="5" numFmtId="0" xfId="0" applyAlignment="1" applyFont="1">
      <alignment shrinkToFit="0" wrapText="1"/>
    </xf>
    <xf borderId="0" fillId="0" fontId="7" numFmtId="0" xfId="0" applyAlignment="1" applyFont="1">
      <alignment readingOrder="0" shrinkToFit="0" wrapText="1"/>
    </xf>
    <xf borderId="0" fillId="0" fontId="5" numFmtId="167" xfId="0" applyAlignment="1" applyFont="1" applyNumberFormat="1">
      <alignment readingOrder="0" shrinkToFit="0" wrapText="1"/>
    </xf>
    <xf borderId="0" fillId="3" fontId="5" numFmtId="0" xfId="0" applyAlignment="1" applyFill="1" applyFont="1">
      <alignment readingOrder="0" shrinkToFit="0" wrapText="1"/>
    </xf>
    <xf borderId="0" fillId="2" fontId="6" numFmtId="0" xfId="0" applyAlignment="1" applyFont="1">
      <alignment readingOrder="0" shrinkToFit="0" wrapText="1"/>
    </xf>
    <xf borderId="0" fillId="0" fontId="5" numFmtId="168" xfId="0" applyAlignment="1" applyFont="1" applyNumberFormat="1">
      <alignment readingOrder="0" shrinkToFit="0" wrapText="1"/>
    </xf>
    <xf borderId="0" fillId="0" fontId="5" numFmtId="169" xfId="0" applyAlignment="1" applyFont="1" applyNumberFormat="1">
      <alignment readingOrder="0" shrinkToFit="0" wrapText="1"/>
    </xf>
    <xf borderId="0" fillId="0" fontId="5" numFmtId="0" xfId="0" applyAlignment="1" applyFont="1">
      <alignment readingOrder="0"/>
    </xf>
    <xf borderId="0" fillId="0" fontId="8" numFmtId="0" xfId="0" applyAlignment="1" applyFont="1">
      <alignment readingOrder="0" shrinkToFit="0" wrapText="1"/>
    </xf>
    <xf borderId="0" fillId="0" fontId="5" numFmtId="170" xfId="0" applyAlignment="1" applyFont="1" applyNumberFormat="1">
      <alignment readingOrder="0" shrinkToFit="0" wrapText="1"/>
    </xf>
    <xf borderId="0" fillId="0" fontId="5" numFmtId="0" xfId="0" applyAlignment="1" applyFont="1">
      <alignment horizontal="right" readingOrder="0" shrinkToFit="0" wrapText="1"/>
    </xf>
    <xf borderId="0" fillId="0" fontId="6" numFmtId="169" xfId="0" applyAlignment="1" applyFont="1" applyNumberFormat="1">
      <alignment shrinkToFit="0" wrapText="1"/>
    </xf>
    <xf borderId="0" fillId="0" fontId="9" numFmtId="0" xfId="0" applyAlignment="1" applyFont="1">
      <alignment readingOrder="0" shrinkToFit="0" wrapText="1"/>
    </xf>
    <xf borderId="0" fillId="0" fontId="6" numFmtId="167" xfId="0" applyAlignment="1" applyFont="1" applyNumberFormat="1">
      <alignment readingOrder="0" shrinkToFit="0" wrapText="1"/>
    </xf>
    <xf borderId="0" fillId="0" fontId="5" numFmtId="171" xfId="0" applyAlignment="1" applyFont="1" applyNumberFormat="1">
      <alignment readingOrder="0" shrinkToFit="0" wrapText="1"/>
    </xf>
    <xf borderId="0" fillId="0" fontId="5" numFmtId="169" xfId="0" applyAlignment="1" applyFont="1" applyNumberFormat="1">
      <alignment readingOrder="0" shrinkToFit="0" wrapText="1"/>
    </xf>
    <xf borderId="0" fillId="0" fontId="6" numFmtId="0" xfId="0" applyAlignment="1" applyFont="1">
      <alignment shrinkToFit="0" wrapText="1"/>
    </xf>
    <xf borderId="0" fillId="0" fontId="5" numFmtId="172" xfId="0" applyAlignment="1" applyFont="1" applyNumberFormat="1">
      <alignment readingOrder="0"/>
    </xf>
    <xf borderId="0" fillId="0" fontId="5" numFmtId="173" xfId="0" applyAlignment="1" applyFont="1" applyNumberFormat="1">
      <alignment readingOrder="0"/>
    </xf>
    <xf borderId="0" fillId="0" fontId="5" numFmtId="174" xfId="0" applyAlignment="1" applyFont="1" applyNumberFormat="1">
      <alignment readingOrder="0"/>
    </xf>
    <xf borderId="0" fillId="0" fontId="10" numFmtId="0" xfId="0" applyAlignment="1" applyFont="1">
      <alignment readingOrder="0"/>
    </xf>
    <xf borderId="0" fillId="0" fontId="5" numFmtId="175" xfId="0" applyAlignment="1" applyFont="1" applyNumberFormat="1">
      <alignment readingOrder="0" shrinkToFit="0" wrapText="1"/>
    </xf>
    <xf borderId="0" fillId="0" fontId="6" numFmtId="0" xfId="0" applyAlignment="1" applyFont="1">
      <alignment readingOrder="0"/>
    </xf>
    <xf borderId="0" fillId="0" fontId="2" numFmtId="175" xfId="0" applyAlignment="1" applyFont="1" applyNumberFormat="1">
      <alignment horizontal="right" shrinkToFit="0" vertical="bottom" wrapText="1"/>
    </xf>
    <xf borderId="0" fillId="0" fontId="11" numFmtId="0" xfId="0" applyAlignment="1" applyFont="1">
      <alignment readingOrder="0"/>
    </xf>
    <xf borderId="0" fillId="2" fontId="6" numFmtId="0" xfId="0" applyAlignment="1" applyFont="1">
      <alignment readingOrder="0"/>
    </xf>
    <xf borderId="0" fillId="2" fontId="5" numFmtId="0" xfId="0" applyFont="1"/>
    <xf borderId="0" fillId="0" fontId="11" numFmtId="167" xfId="0" applyAlignment="1" applyFont="1" applyNumberFormat="1">
      <alignment readingOrder="0"/>
    </xf>
    <xf borderId="0" fillId="0" fontId="11" numFmtId="0" xfId="0" applyFont="1"/>
    <xf borderId="0" fillId="0" fontId="5" numFmtId="165" xfId="0" applyAlignment="1" applyFont="1" applyNumberFormat="1">
      <alignment readingOrder="0" shrinkToFit="0" wrapText="1"/>
    </xf>
    <xf borderId="0" fillId="0" fontId="5" numFmtId="0" xfId="0" applyFont="1"/>
    <xf borderId="0" fillId="0" fontId="5" numFmtId="165" xfId="0" applyAlignment="1" applyFont="1" applyNumberFormat="1">
      <alignment readingOrder="0"/>
    </xf>
    <xf borderId="0" fillId="0" fontId="5" numFmtId="176" xfId="0" applyAlignment="1" applyFont="1" applyNumberFormat="1">
      <alignment readingOrder="0"/>
    </xf>
    <xf borderId="0" fillId="0" fontId="1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ucas.com/events" TargetMode="External"/><Relationship Id="rId42" Type="http://schemas.openxmlformats.org/officeDocument/2006/relationships/hyperlink" Target="https://www.ucas.com/events" TargetMode="External"/><Relationship Id="rId41" Type="http://schemas.openxmlformats.org/officeDocument/2006/relationships/hyperlink" Target="https://qualifica.exponor.pt/" TargetMode="External"/><Relationship Id="rId44" Type="http://schemas.openxmlformats.org/officeDocument/2006/relationships/hyperlink" Target="https://www.ucas.com/events" TargetMode="External"/><Relationship Id="rId43" Type="http://schemas.openxmlformats.org/officeDocument/2006/relationships/hyperlink" Target="https://www.ucas.com/events" TargetMode="External"/><Relationship Id="rId46" Type="http://schemas.openxmlformats.org/officeDocument/2006/relationships/hyperlink" Target="https://www.ucas.com/events" TargetMode="External"/><Relationship Id="rId45" Type="http://schemas.openxmlformats.org/officeDocument/2006/relationships/hyperlink" Target="https://www.ucas.com/events" TargetMode="External"/><Relationship Id="rId1" Type="http://schemas.openxmlformats.org/officeDocument/2006/relationships/hyperlink" Target="https://www.eaie.org/" TargetMode="External"/><Relationship Id="rId2" Type="http://schemas.openxmlformats.org/officeDocument/2006/relationships/hyperlink" Target="https://higheroptions.irishtimes.com/home?language=en" TargetMode="External"/><Relationship Id="rId3" Type="http://schemas.openxmlformats.org/officeDocument/2006/relationships/hyperlink" Target="https://www.fulbright.org.uk/" TargetMode="External"/><Relationship Id="rId4" Type="http://schemas.openxmlformats.org/officeDocument/2006/relationships/hyperlink" Target="https://digital.next-step.li/" TargetMode="External"/><Relationship Id="rId9" Type="http://schemas.openxmlformats.org/officeDocument/2006/relationships/hyperlink" Target="https://www.onderwijsbeurs.nl/" TargetMode="External"/><Relationship Id="rId48" Type="http://schemas.openxmlformats.org/officeDocument/2006/relationships/hyperlink" Target="https://www.ucas.com/events" TargetMode="External"/><Relationship Id="rId47" Type="http://schemas.openxmlformats.org/officeDocument/2006/relationships/hyperlink" Target="https://www.ucas.com/events" TargetMode="External"/><Relationship Id="rId49" Type="http://schemas.openxmlformats.org/officeDocument/2006/relationships/hyperlink" Target="https://www.ucas.com/events" TargetMode="External"/><Relationship Id="rId5" Type="http://schemas.openxmlformats.org/officeDocument/2006/relationships/hyperlink" Target="https://www.cois.org/" TargetMode="External"/><Relationship Id="rId6" Type="http://schemas.openxmlformats.org/officeDocument/2006/relationships/hyperlink" Target="https://www.cois.org/" TargetMode="External"/><Relationship Id="rId7" Type="http://schemas.openxmlformats.org/officeDocument/2006/relationships/hyperlink" Target="https://www.cois.org/" TargetMode="External"/><Relationship Id="rId8" Type="http://schemas.openxmlformats.org/officeDocument/2006/relationships/hyperlink" Target="https://srtfairs.com/" TargetMode="External"/><Relationship Id="rId31" Type="http://schemas.openxmlformats.org/officeDocument/2006/relationships/hyperlink" Target="https://www.ifema.es/aula" TargetMode="External"/><Relationship Id="rId30" Type="http://schemas.openxmlformats.org/officeDocument/2006/relationships/hyperlink" Target="https://collegedayfairs.org/cds-visitors" TargetMode="External"/><Relationship Id="rId33" Type="http://schemas.openxmlformats.org/officeDocument/2006/relationships/hyperlink" Target="https://www.ensenyament.com/" TargetMode="External"/><Relationship Id="rId32" Type="http://schemas.openxmlformats.org/officeDocument/2006/relationships/hyperlink" Target="https://www.ucas.com/events" TargetMode="External"/><Relationship Id="rId35" Type="http://schemas.openxmlformats.org/officeDocument/2006/relationships/hyperlink" Target="https://salons.siep.be/" TargetMode="External"/><Relationship Id="rId34" Type="http://schemas.openxmlformats.org/officeDocument/2006/relationships/hyperlink" Target="https://www.ucas.com/events" TargetMode="External"/><Relationship Id="rId37" Type="http://schemas.openxmlformats.org/officeDocument/2006/relationships/hyperlink" Target="https://salons.siep.be/" TargetMode="External"/><Relationship Id="rId36" Type="http://schemas.openxmlformats.org/officeDocument/2006/relationships/hyperlink" Target="https://www.ucas.com/events" TargetMode="External"/><Relationship Id="rId39" Type="http://schemas.openxmlformats.org/officeDocument/2006/relationships/hyperlink" Target="https://www.ucas.com/events" TargetMode="External"/><Relationship Id="rId38" Type="http://schemas.openxmlformats.org/officeDocument/2006/relationships/hyperlink" Target="https://www.gov.je/" TargetMode="External"/><Relationship Id="rId20" Type="http://schemas.openxmlformats.org/officeDocument/2006/relationships/hyperlink" Target="https://salons.siep.be/" TargetMode="External"/><Relationship Id="rId22" Type="http://schemas.openxmlformats.org/officeDocument/2006/relationships/hyperlink" Target="https://studia.messukeskus.com/" TargetMode="External"/><Relationship Id="rId21" Type="http://schemas.openxmlformats.org/officeDocument/2006/relationships/hyperlink" Target="https://www.unitour.es/" TargetMode="External"/><Relationship Id="rId24" Type="http://schemas.openxmlformats.org/officeDocument/2006/relationships/hyperlink" Target="https://www.tautdanning.no/" TargetMode="External"/><Relationship Id="rId23" Type="http://schemas.openxmlformats.org/officeDocument/2006/relationships/hyperlink" Target="https://salons.siep.be/" TargetMode="External"/><Relationship Id="rId26" Type="http://schemas.openxmlformats.org/officeDocument/2006/relationships/hyperlink" Target="https://www.ucas.com/events" TargetMode="External"/><Relationship Id="rId25" Type="http://schemas.openxmlformats.org/officeDocument/2006/relationships/hyperlink" Target="https://u-days.au.dk/" TargetMode="External"/><Relationship Id="rId28" Type="http://schemas.openxmlformats.org/officeDocument/2006/relationships/hyperlink" Target="https://collegedayfairs.org/cds-visitors" TargetMode="External"/><Relationship Id="rId27" Type="http://schemas.openxmlformats.org/officeDocument/2006/relationships/hyperlink" Target="https://www.ucas.com/events" TargetMode="External"/><Relationship Id="rId29" Type="http://schemas.openxmlformats.org/officeDocument/2006/relationships/hyperlink" Target="https://collegedayfairs.org/cds-visitors" TargetMode="External"/><Relationship Id="rId51" Type="http://schemas.openxmlformats.org/officeDocument/2006/relationships/hyperlink" Target="https://www.ucas.com/events" TargetMode="External"/><Relationship Id="rId50" Type="http://schemas.openxmlformats.org/officeDocument/2006/relationships/hyperlink" Target="https://www.ucas.com/events" TargetMode="External"/><Relationship Id="rId53" Type="http://schemas.openxmlformats.org/officeDocument/2006/relationships/hyperlink" Target="https://www.ucas.com/events" TargetMode="External"/><Relationship Id="rId52" Type="http://schemas.openxmlformats.org/officeDocument/2006/relationships/hyperlink" Target="https://www.ucas.com/events" TargetMode="External"/><Relationship Id="rId11" Type="http://schemas.openxmlformats.org/officeDocument/2006/relationships/hyperlink" Target="https://www.fpp.world/" TargetMode="External"/><Relationship Id="rId55" Type="http://schemas.openxmlformats.org/officeDocument/2006/relationships/hyperlink" Target="https://www.ucas.com/events" TargetMode="External"/><Relationship Id="rId10" Type="http://schemas.openxmlformats.org/officeDocument/2006/relationships/hyperlink" Target="https://www.cois.org/" TargetMode="External"/><Relationship Id="rId54" Type="http://schemas.openxmlformats.org/officeDocument/2006/relationships/hyperlink" Target="https://www.ucas.com/events" TargetMode="External"/><Relationship Id="rId13" Type="http://schemas.openxmlformats.org/officeDocument/2006/relationships/hyperlink" Target="https://www.zebi.ch/" TargetMode="External"/><Relationship Id="rId57" Type="http://schemas.openxmlformats.org/officeDocument/2006/relationships/drawing" Target="../drawings/drawing1.xml"/><Relationship Id="rId12" Type="http://schemas.openxmlformats.org/officeDocument/2006/relationships/hyperlink" Target="https://meng.gouvernement.lu/" TargetMode="External"/><Relationship Id="rId56" Type="http://schemas.openxmlformats.org/officeDocument/2006/relationships/hyperlink" Target="https://education.gov.mt/" TargetMode="External"/><Relationship Id="rId15" Type="http://schemas.openxmlformats.org/officeDocument/2006/relationships/hyperlink" Target="https://www.bachelor-and-more.de/" TargetMode="External"/><Relationship Id="rId14" Type="http://schemas.openxmlformats.org/officeDocument/2006/relationships/hyperlink" Target="https://www.studiekeuzebeurs.nl/" TargetMode="External"/><Relationship Id="rId17" Type="http://schemas.openxmlformats.org/officeDocument/2006/relationships/hyperlink" Target="https://salons.siep.be/" TargetMode="External"/><Relationship Id="rId16" Type="http://schemas.openxmlformats.org/officeDocument/2006/relationships/hyperlink" Target="https://www.cois.org/" TargetMode="External"/><Relationship Id="rId19" Type="http://schemas.openxmlformats.org/officeDocument/2006/relationships/hyperlink" Target="https://www.guernseycareers.gg/" TargetMode="External"/><Relationship Id="rId18" Type="http://schemas.openxmlformats.org/officeDocument/2006/relationships/hyperlink" Target="https://www.metiersformation.ch/"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hotels.com/ho380253/generator-copenhagen-copenhagen-denmark/?chkin=2025-09-19&amp;chkout=2025-09-20&amp;x_pwa=1&amp;rfrr=HSR&amp;pwa_ts=1757276193137&amp;referrerUrl=aHR0cHM6Ly93d3cuaG90ZWxzLmNvbS9Ib3RlbC1TZWFyY2g%3D&amp;useRewards=false&amp;rm1=a1&amp;regionId=906&amp;destination=Copenhagen%2C+Hovedstaden%2C+Denmark&amp;destType=MARKET&amp;neighborhoodId=6051779&amp;latLong=55.679673%2C12.575681&amp;price=0&amp;price=175&amp;sort=RECOMMENDED&amp;top_dp=33&amp;top_cur=USD&amp;userIntent=&amp;selectedRoomType=200074850&amp;selectedRatePlan=393073965&amp;expediaPropertyId=4435108&amp;searchId=5c21f627-bc5b-4edb-bf50-982c5eddc4bd" TargetMode="External"/><Relationship Id="rId2" Type="http://schemas.openxmlformats.org/officeDocument/2006/relationships/hyperlink" Target="https://www.hotels.com/ho380253/generator-copenhagen-copenhagen-denmark/?chkin=2025-09-19&amp;chkout=2025-09-20&amp;x_pwa=1&amp;rfrr=HSR&amp;pwa_ts=1757276193137&amp;referrerUrl=aHR0cHM6Ly93d3cuaG90ZWxzLmNvbS9Ib3RlbC1TZWFyY2g%3D&amp;useRewards=false&amp;rm1=a1&amp;regionId=906&amp;destination=Copenhagen%2C+Hovedstaden%2C+Denmark&amp;destType=MARKET&amp;neighborhoodId=6051779&amp;latLong=55.679673%2C12.575681&amp;price=0&amp;price=175&amp;sort=RECOMMENDED&amp;top_dp=33&amp;top_cur=USD&amp;userIntent=&amp;selectedRoomType=200074850&amp;selectedRatePlan=393073965&amp;expediaPropertyId=4435108&amp;searchId=5c21f627-bc5b-4edb-bf50-982c5eddc4bd" TargetMode="External"/><Relationship Id="rId3" Type="http://schemas.openxmlformats.org/officeDocument/2006/relationships/hyperlink" Target="https://www.hotels.com/ho644466/comfotel-prpl-london-united-kingdom/?chkin=2025-09-26&amp;chkout=2025-09-27&amp;x_pwa=1&amp;rfrr=HSR&amp;pwa_ts=1757276914788&amp;referrerUrl=aHR0cHM6Ly93d3cuaG90ZWxzLmNvbS9Ib3RlbC1TZWFyY2g%3D&amp;useRewards=false&amp;rm1=a1&amp;destination=Hornton+St%2C+London+W8+4HX%2C+UK&amp;destType=ADDRESS&amp;neighborhoodId=6054500&amp;latLong=51.5044231%2C-0.1959496&amp;price=0&amp;price=120&amp;sort=RECOMMENDED&amp;top_dp=108&amp;top_cur=USD&amp;userIntent=&amp;selectedRoomType=201754486&amp;selectedRatePlan=208712512&amp;expediaPropertyId=16625198&amp;searchId=7f46c13b-bba6-4540-a22f-860f28c20733" TargetMode="External"/><Relationship Id="rId4" Type="http://schemas.openxmlformats.org/officeDocument/2006/relationships/hyperlink" Target="https://www.hotels.com/ho644466/comfotel-prpl-london-united-kingdom/?chkin=2025-09-26&amp;chkout=2025-09-27&amp;x_pwa=1&amp;rfrr=HSR&amp;pwa_ts=1757276914788&amp;referrerUrl=aHR0cHM6Ly93d3cuaG90ZWxzLmNvbS9Ib3RlbC1TZWFyY2g%3D&amp;useRewards=false&amp;rm1=a1&amp;destination=Hornton+St%2C+London+W8+4HX%2C+UK&amp;destType=ADDRESS&amp;neighborhoodId=6054500&amp;latLong=51.5044231%2C-0.1959496&amp;price=0&amp;price=120&amp;sort=RECOMMENDED&amp;top_dp=108&amp;top_cur=USD&amp;userIntent=&amp;selectedRoomType=201754486&amp;selectedRatePlan=208712512&amp;expediaPropertyId=16625198&amp;searchId=7f46c13b-bba6-4540-a22f-860f28c20733" TargetMode="External"/><Relationship Id="rId5" Type="http://schemas.openxmlformats.org/officeDocument/2006/relationships/hyperlink" Target="https://www.hotels.com/ho398493/hotel-evergreen-brussels-belgium/?chkin=2025-09-27&amp;chkout=2025-09-28&amp;x_pwa=1&amp;rfrr=HSR&amp;pwa_ts=1757278289464&amp;referrerUrl=aHR0cHM6Ly93d3cuaG90ZWxzLmNvbS9Ib3RlbC1TZWFyY2g%3D&amp;useRewards=false&amp;rm1=a1&amp;destination=Kattenberg+19%2C+1170+Watermael-Boitsfort%2C+Belgium&amp;destType=ADDRESS&amp;neighborhoodId=178475&amp;latLong=50.79083970000001%2C4.4172614&amp;price=0&amp;price=122&amp;sort=RECOMMENDED&amp;top_dp=87&amp;top_cur=USD&amp;userIntent=&amp;selectedRoomType=200552870&amp;selectedRatePlan=202856911&amp;expediaPropertyId=4801116&amp;searchId=c0d4ab07-56f2-4696-89b5-82f5b2e8b612"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oead.at/en/" TargetMode="External"/><Relationship Id="rId2" Type="http://schemas.openxmlformats.org/officeDocument/2006/relationships/hyperlink" Target="https://www.studyinaustria.at/" TargetMode="External"/><Relationship Id="rId3" Type="http://schemas.openxmlformats.org/officeDocument/2006/relationships/hyperlink" Target="https://www.aef-europe.be/" TargetMode="External"/><Relationship Id="rId4" Type="http://schemas.openxmlformats.org/officeDocument/2006/relationships/hyperlink" Target="https://www.epos-vlaanderen.be/" TargetMode="External"/><Relationship Id="rId9" Type="http://schemas.openxmlformats.org/officeDocument/2006/relationships/hyperlink" Target="https://www.studyinfinland.fi/" TargetMode="External"/><Relationship Id="rId5" Type="http://schemas.openxmlformats.org/officeDocument/2006/relationships/hyperlink" Target="https://www.studyinflanders.be/" TargetMode="External"/><Relationship Id="rId6" Type="http://schemas.openxmlformats.org/officeDocument/2006/relationships/hyperlink" Target="https://ufm.dk/en" TargetMode="External"/><Relationship Id="rId7" Type="http://schemas.openxmlformats.org/officeDocument/2006/relationships/hyperlink" Target="https://studyindenmark.dk/" TargetMode="External"/><Relationship Id="rId8" Type="http://schemas.openxmlformats.org/officeDocument/2006/relationships/hyperlink" Target="https://www.oph.fi/en" TargetMode="External"/><Relationship Id="rId31" Type="http://schemas.openxmlformats.org/officeDocument/2006/relationships/hyperlink" Target="https://www.studyinspain.info/" TargetMode="External"/><Relationship Id="rId30" Type="http://schemas.openxmlformats.org/officeDocument/2006/relationships/hyperlink" Target="https://www.sepie.es/" TargetMode="External"/><Relationship Id="rId33" Type="http://schemas.openxmlformats.org/officeDocument/2006/relationships/hyperlink" Target="https://studyinsweden.se/" TargetMode="External"/><Relationship Id="rId32" Type="http://schemas.openxmlformats.org/officeDocument/2006/relationships/hyperlink" Target="https://www.uhr.se/en/" TargetMode="External"/><Relationship Id="rId35" Type="http://schemas.openxmlformats.org/officeDocument/2006/relationships/hyperlink" Target="https://www.movetia.ch/en" TargetMode="External"/><Relationship Id="rId34" Type="http://schemas.openxmlformats.org/officeDocument/2006/relationships/hyperlink" Target="https://www.swissuniversities.ch/en/" TargetMode="External"/><Relationship Id="rId37" Type="http://schemas.openxmlformats.org/officeDocument/2006/relationships/hyperlink" Target="https://www.ucas.com/" TargetMode="External"/><Relationship Id="rId36" Type="http://schemas.openxmlformats.org/officeDocument/2006/relationships/hyperlink" Target="https://www.britishcouncil.org/" TargetMode="External"/><Relationship Id="rId38" Type="http://schemas.openxmlformats.org/officeDocument/2006/relationships/drawing" Target="../drawings/drawing6.xml"/><Relationship Id="rId20" Type="http://schemas.openxmlformats.org/officeDocument/2006/relationships/hyperlink" Target="https://www.mur.gov.it/it" TargetMode="External"/><Relationship Id="rId22" Type="http://schemas.openxmlformats.org/officeDocument/2006/relationships/hyperlink" Target="https://www.anefore.lu/" TargetMode="External"/><Relationship Id="rId21" Type="http://schemas.openxmlformats.org/officeDocument/2006/relationships/hyperlink" Target="https://mesr.gouvernement.lu/en.html" TargetMode="External"/><Relationship Id="rId24" Type="http://schemas.openxmlformats.org/officeDocument/2006/relationships/hyperlink" Target="https://www.nuffic.nl/en" TargetMode="External"/><Relationship Id="rId23" Type="http://schemas.openxmlformats.org/officeDocument/2006/relationships/hyperlink" Target="https://education.gov.mt/" TargetMode="External"/><Relationship Id="rId26" Type="http://schemas.openxmlformats.org/officeDocument/2006/relationships/hyperlink" Target="https://hkdir.no/en/" TargetMode="External"/><Relationship Id="rId25" Type="http://schemas.openxmlformats.org/officeDocument/2006/relationships/hyperlink" Target="https://www.studyinholland.nl/" TargetMode="External"/><Relationship Id="rId28" Type="http://schemas.openxmlformats.org/officeDocument/2006/relationships/hyperlink" Target="https://www.dges.gov.pt/en" TargetMode="External"/><Relationship Id="rId27" Type="http://schemas.openxmlformats.org/officeDocument/2006/relationships/hyperlink" Target="https://www.studyinnorway.no/" TargetMode="External"/><Relationship Id="rId29" Type="http://schemas.openxmlformats.org/officeDocument/2006/relationships/hyperlink" Target="https://www.study-research.pt/" TargetMode="External"/><Relationship Id="rId11" Type="http://schemas.openxmlformats.org/officeDocument/2006/relationships/hyperlink" Target="https://www.letudiant.fr/" TargetMode="External"/><Relationship Id="rId10" Type="http://schemas.openxmlformats.org/officeDocument/2006/relationships/hyperlink" Target="https://www.campusfrance.org/en" TargetMode="External"/><Relationship Id="rId13" Type="http://schemas.openxmlformats.org/officeDocument/2006/relationships/hyperlink" Target="https://www.study-in-germany.de/en/" TargetMode="External"/><Relationship Id="rId12" Type="http://schemas.openxmlformats.org/officeDocument/2006/relationships/hyperlink" Target="https://www.daad.de/en/" TargetMode="External"/><Relationship Id="rId15" Type="http://schemas.openxmlformats.org/officeDocument/2006/relationships/hyperlink" Target="https://en.rannis.is/" TargetMode="External"/><Relationship Id="rId14" Type="http://schemas.openxmlformats.org/officeDocument/2006/relationships/hyperlink" Target="https://www.kmk.org/" TargetMode="External"/><Relationship Id="rId17" Type="http://schemas.openxmlformats.org/officeDocument/2006/relationships/hyperlink" Target="https://www.educationinireland.com/" TargetMode="External"/><Relationship Id="rId16" Type="http://schemas.openxmlformats.org/officeDocument/2006/relationships/hyperlink" Target="https://www.studyiniceland.is/" TargetMode="External"/><Relationship Id="rId19" Type="http://schemas.openxmlformats.org/officeDocument/2006/relationships/hyperlink" Target="https://www.uni-italia.net/" TargetMode="External"/><Relationship Id="rId18" Type="http://schemas.openxmlformats.org/officeDocument/2006/relationships/hyperlink" Target="https://hea.ie/"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3"/>
    </row>
    <row r="2">
      <c r="A2" s="3" t="s">
        <v>15</v>
      </c>
      <c r="B2" s="4" t="s">
        <v>16</v>
      </c>
      <c r="C2" s="4" t="s">
        <v>17</v>
      </c>
      <c r="D2" s="4" t="s">
        <v>18</v>
      </c>
      <c r="E2" s="4" t="s">
        <v>19</v>
      </c>
      <c r="F2" s="4" t="s">
        <v>20</v>
      </c>
      <c r="G2" s="4" t="s">
        <v>21</v>
      </c>
      <c r="H2" s="5" t="s">
        <v>22</v>
      </c>
      <c r="I2" s="4" t="s">
        <v>23</v>
      </c>
      <c r="J2" s="6" t="s">
        <v>24</v>
      </c>
      <c r="K2" s="4" t="s">
        <v>25</v>
      </c>
      <c r="L2" s="4" t="s">
        <v>26</v>
      </c>
      <c r="M2" s="4" t="s">
        <v>27</v>
      </c>
      <c r="N2" s="3"/>
      <c r="O2" s="3"/>
      <c r="P2" s="3"/>
    </row>
    <row r="3">
      <c r="A3" s="7">
        <v>45920.0</v>
      </c>
      <c r="B3" s="3"/>
      <c r="C3" s="4" t="s">
        <v>28</v>
      </c>
      <c r="D3" s="4" t="s">
        <v>29</v>
      </c>
      <c r="E3" s="4" t="s">
        <v>30</v>
      </c>
      <c r="F3" s="4" t="s">
        <v>31</v>
      </c>
      <c r="G3" s="3"/>
      <c r="H3" s="8"/>
      <c r="I3" s="3"/>
      <c r="J3" s="3"/>
      <c r="K3" s="4" t="s">
        <v>32</v>
      </c>
      <c r="L3" s="3"/>
      <c r="M3" s="4" t="s">
        <v>33</v>
      </c>
      <c r="N3" s="4" t="s">
        <v>34</v>
      </c>
      <c r="O3" s="3"/>
      <c r="P3" s="3"/>
    </row>
    <row r="4">
      <c r="A4" s="3" t="s">
        <v>35</v>
      </c>
      <c r="B4" s="4" t="s">
        <v>36</v>
      </c>
      <c r="C4" s="4" t="s">
        <v>37</v>
      </c>
      <c r="D4" s="4" t="s">
        <v>38</v>
      </c>
      <c r="E4" s="4" t="s">
        <v>39</v>
      </c>
      <c r="F4" s="4" t="s">
        <v>40</v>
      </c>
      <c r="G4" s="4" t="s">
        <v>41</v>
      </c>
      <c r="H4" s="5" t="s">
        <v>42</v>
      </c>
      <c r="I4" s="4" t="s">
        <v>43</v>
      </c>
      <c r="J4" s="6" t="s">
        <v>44</v>
      </c>
      <c r="K4" s="4" t="s">
        <v>45</v>
      </c>
      <c r="L4" s="4" t="s">
        <v>46</v>
      </c>
      <c r="M4" s="4" t="s">
        <v>47</v>
      </c>
      <c r="N4" s="3"/>
      <c r="O4" s="3"/>
      <c r="P4" s="3"/>
    </row>
    <row r="5">
      <c r="A5" s="3" t="s">
        <v>48</v>
      </c>
      <c r="B5" s="4" t="s">
        <v>49</v>
      </c>
      <c r="C5" s="4" t="s">
        <v>50</v>
      </c>
      <c r="D5" s="4" t="s">
        <v>51</v>
      </c>
      <c r="E5" s="4" t="s">
        <v>52</v>
      </c>
      <c r="F5" s="4" t="s">
        <v>53</v>
      </c>
      <c r="G5" s="4" t="s">
        <v>54</v>
      </c>
      <c r="H5" s="5" t="s">
        <v>55</v>
      </c>
      <c r="I5" s="4" t="s">
        <v>56</v>
      </c>
      <c r="J5" s="6" t="s">
        <v>57</v>
      </c>
      <c r="K5" s="4" t="s">
        <v>58</v>
      </c>
      <c r="L5" s="4" t="s">
        <v>59</v>
      </c>
      <c r="M5" s="4" t="s">
        <v>60</v>
      </c>
      <c r="N5" s="4" t="s">
        <v>34</v>
      </c>
      <c r="O5" s="3"/>
      <c r="P5" s="3"/>
    </row>
    <row r="6">
      <c r="A6" s="3" t="s">
        <v>48</v>
      </c>
      <c r="B6" s="4" t="s">
        <v>61</v>
      </c>
      <c r="C6" s="4" t="s">
        <v>62</v>
      </c>
      <c r="D6" s="4" t="s">
        <v>63</v>
      </c>
      <c r="E6" s="4" t="s">
        <v>64</v>
      </c>
      <c r="F6" s="4" t="s">
        <v>65</v>
      </c>
      <c r="G6" s="4" t="s">
        <v>61</v>
      </c>
      <c r="H6" s="5" t="s">
        <v>66</v>
      </c>
      <c r="I6" s="4" t="s">
        <v>67</v>
      </c>
      <c r="J6" s="6" t="s">
        <v>68</v>
      </c>
      <c r="K6" s="4" t="s">
        <v>69</v>
      </c>
      <c r="L6" s="4" t="s">
        <v>70</v>
      </c>
      <c r="M6" s="4" t="s">
        <v>71</v>
      </c>
      <c r="N6" s="4" t="s">
        <v>72</v>
      </c>
      <c r="O6" s="4" t="s">
        <v>73</v>
      </c>
      <c r="P6" s="3"/>
    </row>
    <row r="7">
      <c r="A7" s="9">
        <v>45928.0</v>
      </c>
      <c r="B7" s="4" t="s">
        <v>74</v>
      </c>
      <c r="C7" s="4" t="s">
        <v>75</v>
      </c>
      <c r="D7" s="4" t="s">
        <v>76</v>
      </c>
      <c r="E7" s="4" t="s">
        <v>77</v>
      </c>
      <c r="F7" s="4" t="s">
        <v>78</v>
      </c>
      <c r="G7" s="4" t="s">
        <v>79</v>
      </c>
      <c r="H7" s="5" t="s">
        <v>80</v>
      </c>
      <c r="I7" s="10">
        <v>45905.0</v>
      </c>
      <c r="J7" s="6" t="s">
        <v>81</v>
      </c>
      <c r="K7" s="4" t="s">
        <v>82</v>
      </c>
      <c r="L7" s="4" t="s">
        <v>83</v>
      </c>
      <c r="M7" s="4" t="s">
        <v>84</v>
      </c>
      <c r="N7" s="4" t="s">
        <v>72</v>
      </c>
      <c r="O7" s="3"/>
      <c r="P7" s="3"/>
    </row>
    <row r="8">
      <c r="A8" s="9">
        <v>45929.0</v>
      </c>
      <c r="B8" s="4" t="s">
        <v>85</v>
      </c>
      <c r="C8" s="4" t="s">
        <v>86</v>
      </c>
      <c r="D8" s="4" t="s">
        <v>87</v>
      </c>
      <c r="E8" s="4" t="s">
        <v>88</v>
      </c>
      <c r="F8" s="4" t="s">
        <v>78</v>
      </c>
      <c r="G8" s="4" t="s">
        <v>89</v>
      </c>
      <c r="H8" s="5" t="s">
        <v>90</v>
      </c>
      <c r="I8" s="10">
        <v>45905.0</v>
      </c>
      <c r="J8" s="6" t="s">
        <v>81</v>
      </c>
      <c r="K8" s="4" t="s">
        <v>82</v>
      </c>
      <c r="L8" s="4" t="s">
        <v>83</v>
      </c>
      <c r="M8" s="4" t="s">
        <v>84</v>
      </c>
      <c r="N8" s="4" t="s">
        <v>72</v>
      </c>
      <c r="O8" s="3"/>
      <c r="P8" s="3"/>
    </row>
    <row r="9">
      <c r="A9" s="9">
        <v>45930.0</v>
      </c>
      <c r="B9" s="4" t="s">
        <v>91</v>
      </c>
      <c r="C9" s="4" t="s">
        <v>86</v>
      </c>
      <c r="D9" s="4" t="s">
        <v>92</v>
      </c>
      <c r="E9" s="4" t="s">
        <v>77</v>
      </c>
      <c r="F9" s="4" t="s">
        <v>78</v>
      </c>
      <c r="G9" s="4" t="s">
        <v>93</v>
      </c>
      <c r="H9" s="5" t="s">
        <v>80</v>
      </c>
      <c r="I9" s="10">
        <v>45905.0</v>
      </c>
      <c r="J9" s="6" t="s">
        <v>81</v>
      </c>
      <c r="K9" s="4" t="s">
        <v>82</v>
      </c>
      <c r="L9" s="4" t="s">
        <v>83</v>
      </c>
      <c r="M9" s="4" t="s">
        <v>84</v>
      </c>
      <c r="N9" s="4" t="s">
        <v>72</v>
      </c>
      <c r="O9" s="3"/>
      <c r="P9" s="3"/>
    </row>
    <row r="10">
      <c r="A10" s="3" t="s">
        <v>94</v>
      </c>
      <c r="B10" s="4" t="s">
        <v>61</v>
      </c>
      <c r="C10" s="4" t="s">
        <v>95</v>
      </c>
      <c r="D10" s="4" t="s">
        <v>96</v>
      </c>
      <c r="E10" s="4" t="s">
        <v>97</v>
      </c>
      <c r="F10" s="4" t="s">
        <v>98</v>
      </c>
      <c r="G10" s="4" t="s">
        <v>99</v>
      </c>
      <c r="H10" s="5" t="s">
        <v>100</v>
      </c>
      <c r="I10" s="4" t="s">
        <v>56</v>
      </c>
      <c r="J10" s="6" t="s">
        <v>101</v>
      </c>
      <c r="K10" s="4" t="s">
        <v>102</v>
      </c>
      <c r="L10" s="4" t="s">
        <v>103</v>
      </c>
      <c r="M10" s="4" t="s">
        <v>104</v>
      </c>
      <c r="N10" s="4" t="s">
        <v>105</v>
      </c>
      <c r="O10" s="3"/>
      <c r="P10" s="3"/>
    </row>
    <row r="11">
      <c r="A11" s="3" t="s">
        <v>106</v>
      </c>
      <c r="B11" s="4" t="s">
        <v>61</v>
      </c>
      <c r="C11" s="4" t="s">
        <v>107</v>
      </c>
      <c r="D11" s="4" t="s">
        <v>108</v>
      </c>
      <c r="E11" s="4" t="s">
        <v>109</v>
      </c>
      <c r="F11" s="4" t="s">
        <v>110</v>
      </c>
      <c r="G11" s="4" t="s">
        <v>111</v>
      </c>
      <c r="H11" s="5" t="s">
        <v>112</v>
      </c>
      <c r="I11" s="4" t="s">
        <v>113</v>
      </c>
      <c r="J11" s="6" t="s">
        <v>114</v>
      </c>
      <c r="K11" s="4" t="s">
        <v>115</v>
      </c>
      <c r="L11" s="4" t="s">
        <v>116</v>
      </c>
      <c r="M11" s="4" t="s">
        <v>117</v>
      </c>
      <c r="N11" s="4" t="s">
        <v>105</v>
      </c>
      <c r="O11" s="3"/>
      <c r="P11" s="3"/>
    </row>
    <row r="12">
      <c r="A12" s="7">
        <v>45945.0</v>
      </c>
      <c r="B12" s="4" t="s">
        <v>118</v>
      </c>
      <c r="C12" s="4" t="s">
        <v>119</v>
      </c>
      <c r="D12" s="4" t="s">
        <v>120</v>
      </c>
      <c r="E12" s="4" t="s">
        <v>121</v>
      </c>
      <c r="F12" s="4" t="s">
        <v>122</v>
      </c>
      <c r="G12" s="4" t="s">
        <v>123</v>
      </c>
      <c r="H12" s="8"/>
      <c r="I12" s="3"/>
      <c r="J12" s="3"/>
      <c r="K12" s="4" t="s">
        <v>124</v>
      </c>
      <c r="L12" s="3"/>
      <c r="M12" s="3"/>
      <c r="N12" s="4" t="s">
        <v>34</v>
      </c>
      <c r="O12" s="3" t="s">
        <v>125</v>
      </c>
      <c r="P12" s="3"/>
    </row>
    <row r="13">
      <c r="A13" s="9">
        <v>45946.0</v>
      </c>
      <c r="B13" s="4" t="s">
        <v>61</v>
      </c>
      <c r="C13" s="4" t="s">
        <v>126</v>
      </c>
      <c r="D13" s="4" t="s">
        <v>127</v>
      </c>
      <c r="E13" s="4" t="s">
        <v>77</v>
      </c>
      <c r="F13" s="4" t="s">
        <v>78</v>
      </c>
      <c r="G13" s="4" t="s">
        <v>61</v>
      </c>
      <c r="H13" s="5" t="s">
        <v>128</v>
      </c>
      <c r="I13" s="10">
        <v>45905.0</v>
      </c>
      <c r="J13" s="6" t="s">
        <v>81</v>
      </c>
      <c r="K13" s="4" t="s">
        <v>129</v>
      </c>
      <c r="L13" s="4" t="s">
        <v>130</v>
      </c>
      <c r="M13" s="4" t="s">
        <v>84</v>
      </c>
      <c r="N13" s="4" t="s">
        <v>72</v>
      </c>
      <c r="O13" s="4" t="s">
        <v>131</v>
      </c>
      <c r="P13" s="3"/>
    </row>
    <row r="14">
      <c r="A14" s="3" t="s">
        <v>132</v>
      </c>
      <c r="B14" s="4" t="s">
        <v>61</v>
      </c>
      <c r="C14" s="4" t="s">
        <v>133</v>
      </c>
      <c r="D14" s="4" t="s">
        <v>134</v>
      </c>
      <c r="E14" s="4" t="s">
        <v>135</v>
      </c>
      <c r="F14" s="4" t="s">
        <v>136</v>
      </c>
      <c r="G14" s="4" t="s">
        <v>61</v>
      </c>
      <c r="H14" s="5" t="s">
        <v>137</v>
      </c>
      <c r="I14" s="4" t="s">
        <v>113</v>
      </c>
      <c r="J14" s="6" t="s">
        <v>138</v>
      </c>
      <c r="K14" s="4" t="s">
        <v>139</v>
      </c>
      <c r="L14" s="4" t="s">
        <v>140</v>
      </c>
      <c r="M14" s="4" t="s">
        <v>141</v>
      </c>
      <c r="N14" s="4" t="s">
        <v>142</v>
      </c>
      <c r="O14" s="3"/>
      <c r="P14" s="3"/>
    </row>
    <row r="15">
      <c r="A15" s="3" t="s">
        <v>143</v>
      </c>
      <c r="B15" s="4" t="s">
        <v>144</v>
      </c>
      <c r="C15" s="4" t="s">
        <v>145</v>
      </c>
      <c r="D15" s="4" t="s">
        <v>146</v>
      </c>
      <c r="E15" s="4" t="s">
        <v>147</v>
      </c>
      <c r="F15" s="4" t="s">
        <v>148</v>
      </c>
      <c r="G15" s="4" t="s">
        <v>149</v>
      </c>
      <c r="H15" s="5" t="s">
        <v>150</v>
      </c>
      <c r="I15" s="4" t="s">
        <v>113</v>
      </c>
      <c r="J15" s="6" t="s">
        <v>151</v>
      </c>
      <c r="K15" s="4" t="s">
        <v>152</v>
      </c>
      <c r="L15" s="4" t="s">
        <v>153</v>
      </c>
      <c r="M15" s="4" t="s">
        <v>154</v>
      </c>
      <c r="N15" s="4" t="s">
        <v>72</v>
      </c>
      <c r="O15" s="3"/>
      <c r="P15" s="3"/>
    </row>
    <row r="16">
      <c r="A16" s="3" t="s">
        <v>155</v>
      </c>
      <c r="B16" s="4" t="s">
        <v>61</v>
      </c>
      <c r="C16" s="4" t="s">
        <v>86</v>
      </c>
      <c r="D16" s="4" t="s">
        <v>156</v>
      </c>
      <c r="E16" s="4" t="s">
        <v>157</v>
      </c>
      <c r="F16" s="4" t="s">
        <v>158</v>
      </c>
      <c r="G16" s="4" t="s">
        <v>158</v>
      </c>
      <c r="H16" s="5" t="s">
        <v>159</v>
      </c>
      <c r="I16" s="4" t="s">
        <v>160</v>
      </c>
      <c r="J16" s="6" t="s">
        <v>161</v>
      </c>
      <c r="K16" s="4" t="s">
        <v>162</v>
      </c>
      <c r="L16" s="4" t="s">
        <v>163</v>
      </c>
      <c r="M16" s="4" t="s">
        <v>164</v>
      </c>
      <c r="N16" s="3"/>
      <c r="O16" s="3"/>
      <c r="P16" s="3"/>
    </row>
    <row r="17">
      <c r="A17" s="3" t="s">
        <v>165</v>
      </c>
      <c r="B17" s="4" t="s">
        <v>61</v>
      </c>
      <c r="C17" s="4" t="s">
        <v>107</v>
      </c>
      <c r="D17" s="4" t="s">
        <v>166</v>
      </c>
      <c r="E17" s="4" t="s">
        <v>167</v>
      </c>
      <c r="F17" s="4" t="s">
        <v>110</v>
      </c>
      <c r="G17" s="4" t="s">
        <v>168</v>
      </c>
      <c r="H17" s="5" t="s">
        <v>112</v>
      </c>
      <c r="I17" s="4" t="s">
        <v>160</v>
      </c>
      <c r="J17" s="6" t="s">
        <v>169</v>
      </c>
      <c r="K17" s="4" t="s">
        <v>115</v>
      </c>
      <c r="L17" s="4" t="s">
        <v>170</v>
      </c>
      <c r="M17" s="4" t="s">
        <v>171</v>
      </c>
      <c r="N17" s="4" t="s">
        <v>105</v>
      </c>
      <c r="O17" s="3"/>
      <c r="P17" s="3"/>
    </row>
    <row r="18">
      <c r="A18" s="9">
        <v>45969.0</v>
      </c>
      <c r="B18" s="4" t="s">
        <v>61</v>
      </c>
      <c r="C18" s="4" t="s">
        <v>119</v>
      </c>
      <c r="D18" s="4" t="s">
        <v>172</v>
      </c>
      <c r="E18" s="4" t="s">
        <v>173</v>
      </c>
      <c r="F18" s="4" t="s">
        <v>174</v>
      </c>
      <c r="G18" s="4" t="s">
        <v>61</v>
      </c>
      <c r="H18" s="5" t="s">
        <v>175</v>
      </c>
      <c r="I18" s="4" t="s">
        <v>160</v>
      </c>
      <c r="J18" s="6" t="s">
        <v>176</v>
      </c>
      <c r="K18" s="4" t="s">
        <v>177</v>
      </c>
      <c r="L18" s="4" t="s">
        <v>178</v>
      </c>
      <c r="M18" s="4" t="s">
        <v>179</v>
      </c>
      <c r="N18" s="4" t="s">
        <v>105</v>
      </c>
      <c r="O18" s="3"/>
      <c r="P18" s="3"/>
    </row>
    <row r="19">
      <c r="A19" s="9">
        <v>45972.0</v>
      </c>
      <c r="B19" s="4" t="s">
        <v>61</v>
      </c>
      <c r="C19" s="4" t="s">
        <v>180</v>
      </c>
      <c r="D19" s="4" t="s">
        <v>181</v>
      </c>
      <c r="E19" s="4" t="s">
        <v>182</v>
      </c>
      <c r="F19" s="4" t="s">
        <v>78</v>
      </c>
      <c r="G19" s="4" t="s">
        <v>61</v>
      </c>
      <c r="H19" s="5" t="s">
        <v>183</v>
      </c>
      <c r="I19" s="4" t="s">
        <v>160</v>
      </c>
      <c r="J19" s="6" t="s">
        <v>81</v>
      </c>
      <c r="K19" s="4" t="s">
        <v>129</v>
      </c>
      <c r="L19" s="4" t="s">
        <v>83</v>
      </c>
      <c r="M19" s="4" t="s">
        <v>84</v>
      </c>
      <c r="N19" s="4" t="s">
        <v>72</v>
      </c>
      <c r="O19" s="3"/>
      <c r="P19" s="3"/>
    </row>
    <row r="20">
      <c r="A20" s="4" t="s">
        <v>184</v>
      </c>
      <c r="B20" s="4" t="s">
        <v>61</v>
      </c>
      <c r="C20" s="4" t="s">
        <v>107</v>
      </c>
      <c r="D20" s="4" t="s">
        <v>185</v>
      </c>
      <c r="E20" s="4" t="s">
        <v>186</v>
      </c>
      <c r="F20" s="3"/>
      <c r="G20" s="4" t="s">
        <v>186</v>
      </c>
      <c r="H20" s="3"/>
      <c r="I20" s="3"/>
      <c r="J20" s="3"/>
      <c r="K20" s="4" t="s">
        <v>187</v>
      </c>
      <c r="L20" s="3"/>
      <c r="M20" s="4" t="s">
        <v>33</v>
      </c>
      <c r="N20" s="4" t="s">
        <v>188</v>
      </c>
      <c r="O20" s="3"/>
      <c r="P20" s="3"/>
    </row>
    <row r="21">
      <c r="A21" s="3" t="s">
        <v>189</v>
      </c>
      <c r="B21" s="4" t="s">
        <v>61</v>
      </c>
      <c r="C21" s="4" t="s">
        <v>190</v>
      </c>
      <c r="D21" s="4" t="s">
        <v>191</v>
      </c>
      <c r="E21" s="4" t="s">
        <v>192</v>
      </c>
      <c r="F21" s="4" t="s">
        <v>193</v>
      </c>
      <c r="G21" s="4" t="s">
        <v>61</v>
      </c>
      <c r="H21" s="5" t="s">
        <v>194</v>
      </c>
      <c r="I21" s="4" t="s">
        <v>56</v>
      </c>
      <c r="J21" s="6" t="s">
        <v>195</v>
      </c>
      <c r="K21" s="4" t="s">
        <v>196</v>
      </c>
      <c r="L21" s="4" t="s">
        <v>197</v>
      </c>
      <c r="M21" s="4" t="s">
        <v>198</v>
      </c>
      <c r="N21" s="4" t="s">
        <v>199</v>
      </c>
      <c r="O21" s="3"/>
      <c r="P21" s="3"/>
    </row>
    <row r="22">
      <c r="A22" s="3" t="s">
        <v>200</v>
      </c>
      <c r="B22" s="4" t="s">
        <v>61</v>
      </c>
      <c r="C22" s="4" t="s">
        <v>86</v>
      </c>
      <c r="D22" s="4" t="s">
        <v>201</v>
      </c>
      <c r="E22" s="4" t="s">
        <v>202</v>
      </c>
      <c r="F22" s="4" t="s">
        <v>203</v>
      </c>
      <c r="G22" s="4" t="s">
        <v>61</v>
      </c>
      <c r="H22" s="5" t="s">
        <v>150</v>
      </c>
      <c r="I22" s="4" t="s">
        <v>160</v>
      </c>
      <c r="J22" s="6" t="s">
        <v>204</v>
      </c>
      <c r="K22" s="4" t="s">
        <v>205</v>
      </c>
      <c r="L22" s="4" t="s">
        <v>206</v>
      </c>
      <c r="M22" s="4" t="s">
        <v>207</v>
      </c>
      <c r="N22" s="4" t="s">
        <v>72</v>
      </c>
      <c r="O22" s="3"/>
      <c r="P22" s="3"/>
    </row>
    <row r="23">
      <c r="A23" s="3" t="s">
        <v>208</v>
      </c>
      <c r="B23" s="4" t="s">
        <v>61</v>
      </c>
      <c r="C23" s="4" t="s">
        <v>209</v>
      </c>
      <c r="D23" s="4" t="s">
        <v>210</v>
      </c>
      <c r="E23" s="4" t="s">
        <v>211</v>
      </c>
      <c r="F23" s="4" t="s">
        <v>212</v>
      </c>
      <c r="G23" s="4" t="s">
        <v>61</v>
      </c>
      <c r="H23" s="5" t="s">
        <v>66</v>
      </c>
      <c r="I23" s="4" t="s">
        <v>67</v>
      </c>
      <c r="J23" s="6" t="s">
        <v>213</v>
      </c>
      <c r="K23" s="4" t="s">
        <v>214</v>
      </c>
      <c r="L23" s="4" t="s">
        <v>215</v>
      </c>
      <c r="M23" s="4" t="s">
        <v>216</v>
      </c>
      <c r="N23" s="4" t="s">
        <v>72</v>
      </c>
      <c r="O23" s="3"/>
      <c r="P23" s="3"/>
    </row>
    <row r="24">
      <c r="A24" s="3" t="s">
        <v>217</v>
      </c>
      <c r="B24" s="4" t="s">
        <v>61</v>
      </c>
      <c r="C24" s="4" t="s">
        <v>190</v>
      </c>
      <c r="D24" s="4" t="s">
        <v>218</v>
      </c>
      <c r="E24" s="4" t="s">
        <v>192</v>
      </c>
      <c r="F24" s="4" t="s">
        <v>193</v>
      </c>
      <c r="G24" s="4" t="s">
        <v>61</v>
      </c>
      <c r="H24" s="5" t="s">
        <v>194</v>
      </c>
      <c r="I24" s="4" t="s">
        <v>56</v>
      </c>
      <c r="J24" s="6" t="s">
        <v>195</v>
      </c>
      <c r="K24" s="4" t="s">
        <v>196</v>
      </c>
      <c r="L24" s="4" t="s">
        <v>197</v>
      </c>
      <c r="M24" s="4" t="s">
        <v>198</v>
      </c>
      <c r="N24" s="4" t="s">
        <v>199</v>
      </c>
      <c r="O24" s="3"/>
      <c r="P24" s="3"/>
    </row>
    <row r="25">
      <c r="A25" s="9">
        <v>45985.0</v>
      </c>
      <c r="B25" s="4" t="s">
        <v>61</v>
      </c>
      <c r="C25" s="4" t="s">
        <v>133</v>
      </c>
      <c r="D25" s="4" t="s">
        <v>219</v>
      </c>
      <c r="E25" s="4" t="s">
        <v>220</v>
      </c>
      <c r="F25" s="4" t="s">
        <v>221</v>
      </c>
      <c r="G25" s="4" t="s">
        <v>61</v>
      </c>
      <c r="H25" s="5" t="s">
        <v>222</v>
      </c>
      <c r="I25" s="4" t="s">
        <v>56</v>
      </c>
      <c r="J25" s="6" t="s">
        <v>223</v>
      </c>
      <c r="K25" s="4" t="s">
        <v>224</v>
      </c>
      <c r="L25" s="4" t="s">
        <v>225</v>
      </c>
      <c r="M25" s="4" t="s">
        <v>226</v>
      </c>
      <c r="N25" s="4" t="s">
        <v>105</v>
      </c>
      <c r="O25" s="3"/>
      <c r="P25" s="3"/>
    </row>
    <row r="26">
      <c r="A26" s="3" t="s">
        <v>227</v>
      </c>
      <c r="B26" s="4" t="s">
        <v>61</v>
      </c>
      <c r="C26" s="4" t="s">
        <v>228</v>
      </c>
      <c r="D26" s="4" t="s">
        <v>229</v>
      </c>
      <c r="E26" s="4" t="s">
        <v>230</v>
      </c>
      <c r="F26" s="4" t="s">
        <v>231</v>
      </c>
      <c r="G26" s="4" t="s">
        <v>61</v>
      </c>
      <c r="H26" s="5" t="s">
        <v>232</v>
      </c>
      <c r="I26" s="4" t="s">
        <v>233</v>
      </c>
      <c r="J26" s="6" t="s">
        <v>234</v>
      </c>
      <c r="K26" s="4" t="s">
        <v>235</v>
      </c>
      <c r="L26" s="4" t="s">
        <v>236</v>
      </c>
      <c r="M26" s="4" t="s">
        <v>237</v>
      </c>
      <c r="N26" s="4" t="s">
        <v>105</v>
      </c>
      <c r="O26" s="3"/>
      <c r="P26" s="3"/>
    </row>
    <row r="27">
      <c r="A27" s="3" t="s">
        <v>238</v>
      </c>
      <c r="B27" s="4" t="s">
        <v>61</v>
      </c>
      <c r="C27" s="4" t="s">
        <v>190</v>
      </c>
      <c r="D27" s="4" t="s">
        <v>239</v>
      </c>
      <c r="E27" s="4" t="s">
        <v>240</v>
      </c>
      <c r="F27" s="4" t="s">
        <v>193</v>
      </c>
      <c r="G27" s="4" t="s">
        <v>61</v>
      </c>
      <c r="H27" s="5" t="s">
        <v>194</v>
      </c>
      <c r="I27" s="4" t="s">
        <v>56</v>
      </c>
      <c r="J27" s="6" t="s">
        <v>195</v>
      </c>
      <c r="K27" s="4" t="s">
        <v>196</v>
      </c>
      <c r="L27" s="4" t="s">
        <v>241</v>
      </c>
      <c r="M27" s="4" t="s">
        <v>242</v>
      </c>
      <c r="N27" s="3"/>
      <c r="O27" s="3"/>
      <c r="P27" s="3"/>
    </row>
    <row r="28">
      <c r="A28" s="4" t="s">
        <v>243</v>
      </c>
      <c r="B28" s="4" t="s">
        <v>61</v>
      </c>
      <c r="C28" s="4" t="s">
        <v>244</v>
      </c>
      <c r="D28" s="4" t="s">
        <v>96</v>
      </c>
      <c r="E28" s="4" t="s">
        <v>245</v>
      </c>
      <c r="F28" s="4" t="s">
        <v>246</v>
      </c>
      <c r="G28" s="4" t="s">
        <v>99</v>
      </c>
      <c r="H28" s="5" t="s">
        <v>247</v>
      </c>
      <c r="I28" s="4" t="s">
        <v>56</v>
      </c>
      <c r="J28" s="6" t="s">
        <v>248</v>
      </c>
      <c r="K28" s="4" t="s">
        <v>249</v>
      </c>
      <c r="L28" s="4" t="s">
        <v>250</v>
      </c>
      <c r="M28" s="4" t="s">
        <v>251</v>
      </c>
      <c r="N28" s="4" t="s">
        <v>105</v>
      </c>
      <c r="O28" s="3"/>
      <c r="P28" s="3"/>
    </row>
    <row r="29">
      <c r="A29" s="11">
        <v>46051.0</v>
      </c>
      <c r="B29" s="4" t="s">
        <v>61</v>
      </c>
      <c r="C29" s="4" t="s">
        <v>17</v>
      </c>
      <c r="D29" s="4" t="s">
        <v>252</v>
      </c>
      <c r="E29" s="4" t="s">
        <v>253</v>
      </c>
      <c r="F29" s="4" t="s">
        <v>254</v>
      </c>
      <c r="G29" s="4" t="s">
        <v>61</v>
      </c>
      <c r="H29" s="5" t="s">
        <v>66</v>
      </c>
      <c r="I29" s="4" t="s">
        <v>255</v>
      </c>
      <c r="J29" s="4" t="s">
        <v>61</v>
      </c>
      <c r="K29" s="4" t="s">
        <v>256</v>
      </c>
      <c r="L29" s="4" t="s">
        <v>257</v>
      </c>
      <c r="M29" s="4" t="s">
        <v>258</v>
      </c>
      <c r="N29" s="4" t="s">
        <v>259</v>
      </c>
      <c r="O29" s="3"/>
      <c r="P29" s="3"/>
    </row>
    <row r="30">
      <c r="A30" s="4" t="s">
        <v>260</v>
      </c>
      <c r="B30" s="3"/>
      <c r="C30" s="4" t="s">
        <v>75</v>
      </c>
      <c r="D30" s="4" t="s">
        <v>261</v>
      </c>
      <c r="E30" s="4" t="s">
        <v>262</v>
      </c>
      <c r="F30" s="4" t="s">
        <v>263</v>
      </c>
      <c r="G30" s="4" t="s">
        <v>263</v>
      </c>
      <c r="H30" s="8"/>
      <c r="I30" s="3"/>
      <c r="J30" s="3"/>
      <c r="K30" s="4" t="s">
        <v>264</v>
      </c>
      <c r="L30" s="3"/>
      <c r="M30" s="3"/>
      <c r="N30" s="4" t="s">
        <v>265</v>
      </c>
      <c r="O30" s="3"/>
      <c r="P30" s="3"/>
    </row>
    <row r="31">
      <c r="A31" s="4" t="s">
        <v>266</v>
      </c>
      <c r="B31" s="4" t="s">
        <v>61</v>
      </c>
      <c r="C31" s="4" t="s">
        <v>28</v>
      </c>
      <c r="D31" s="4" t="s">
        <v>267</v>
      </c>
      <c r="E31" s="4" t="s">
        <v>268</v>
      </c>
      <c r="F31" s="4" t="s">
        <v>269</v>
      </c>
      <c r="G31" s="4" t="s">
        <v>61</v>
      </c>
      <c r="H31" s="5" t="s">
        <v>270</v>
      </c>
      <c r="I31" s="4" t="s">
        <v>67</v>
      </c>
      <c r="J31" s="6" t="s">
        <v>271</v>
      </c>
      <c r="K31" s="4" t="s">
        <v>272</v>
      </c>
      <c r="L31" s="4" t="s">
        <v>273</v>
      </c>
      <c r="M31" s="4" t="s">
        <v>274</v>
      </c>
      <c r="N31" s="4" t="s">
        <v>275</v>
      </c>
      <c r="O31" s="3"/>
      <c r="P31" s="3"/>
    </row>
    <row r="32">
      <c r="A32" s="4" t="s">
        <v>276</v>
      </c>
      <c r="B32" s="4" t="s">
        <v>61</v>
      </c>
      <c r="C32" s="4" t="s">
        <v>50</v>
      </c>
      <c r="D32" s="4" t="s">
        <v>277</v>
      </c>
      <c r="E32" s="4" t="s">
        <v>278</v>
      </c>
      <c r="F32" s="4" t="s">
        <v>279</v>
      </c>
      <c r="G32" s="4" t="s">
        <v>61</v>
      </c>
      <c r="H32" s="5" t="s">
        <v>150</v>
      </c>
      <c r="I32" s="4" t="s">
        <v>280</v>
      </c>
      <c r="J32" s="6" t="s">
        <v>281</v>
      </c>
      <c r="K32" s="4" t="s">
        <v>282</v>
      </c>
      <c r="L32" s="4" t="s">
        <v>283</v>
      </c>
      <c r="M32" s="4" t="s">
        <v>284</v>
      </c>
      <c r="N32" s="3"/>
      <c r="O32" s="3"/>
      <c r="P32" s="3"/>
    </row>
    <row r="33">
      <c r="A33" s="9">
        <v>46087.0</v>
      </c>
      <c r="B33" s="4" t="s">
        <v>61</v>
      </c>
      <c r="C33" s="4" t="s">
        <v>50</v>
      </c>
      <c r="D33" s="4" t="s">
        <v>285</v>
      </c>
      <c r="E33" s="4" t="s">
        <v>278</v>
      </c>
      <c r="F33" s="4" t="s">
        <v>279</v>
      </c>
      <c r="G33" s="4" t="s">
        <v>286</v>
      </c>
      <c r="H33" s="5" t="s">
        <v>150</v>
      </c>
      <c r="I33" s="4" t="s">
        <v>280</v>
      </c>
      <c r="J33" s="6" t="s">
        <v>281</v>
      </c>
      <c r="K33" s="4" t="s">
        <v>287</v>
      </c>
      <c r="L33" s="4" t="s">
        <v>288</v>
      </c>
      <c r="M33" s="4" t="s">
        <v>289</v>
      </c>
      <c r="N33" s="3"/>
      <c r="O33" s="3"/>
      <c r="P33" s="3"/>
    </row>
    <row r="34">
      <c r="A34" s="4" t="s">
        <v>290</v>
      </c>
      <c r="B34" s="3"/>
      <c r="C34" s="4" t="s">
        <v>244</v>
      </c>
      <c r="D34" s="4" t="s">
        <v>291</v>
      </c>
      <c r="E34" s="4" t="s">
        <v>292</v>
      </c>
      <c r="F34" s="4" t="s">
        <v>293</v>
      </c>
      <c r="G34" s="4" t="s">
        <v>294</v>
      </c>
      <c r="H34" s="8"/>
      <c r="I34" s="3"/>
      <c r="J34" s="6" t="s">
        <v>295</v>
      </c>
      <c r="K34" s="4" t="s">
        <v>296</v>
      </c>
      <c r="L34" s="3"/>
      <c r="M34" s="4" t="s">
        <v>33</v>
      </c>
      <c r="N34" s="3"/>
      <c r="O34" s="3"/>
      <c r="P34" s="3"/>
    </row>
    <row r="35">
      <c r="A35" s="4" t="s">
        <v>297</v>
      </c>
      <c r="B35" s="3"/>
      <c r="C35" s="4" t="s">
        <v>17</v>
      </c>
      <c r="D35" s="4" t="s">
        <v>298</v>
      </c>
      <c r="E35" s="4" t="s">
        <v>299</v>
      </c>
      <c r="F35" s="4" t="s">
        <v>293</v>
      </c>
      <c r="G35" s="4" t="s">
        <v>300</v>
      </c>
      <c r="H35" s="8"/>
      <c r="I35" s="3"/>
      <c r="J35" s="6" t="s">
        <v>295</v>
      </c>
      <c r="K35" s="4" t="s">
        <v>301</v>
      </c>
      <c r="L35" s="3"/>
      <c r="M35" s="4" t="s">
        <v>33</v>
      </c>
      <c r="N35" s="3"/>
      <c r="O35" s="3"/>
      <c r="P35" s="3"/>
    </row>
    <row r="36">
      <c r="A36" s="4" t="s">
        <v>302</v>
      </c>
      <c r="B36" s="3"/>
      <c r="C36" s="4" t="s">
        <v>28</v>
      </c>
      <c r="D36" s="4" t="s">
        <v>29</v>
      </c>
      <c r="E36" s="4" t="s">
        <v>303</v>
      </c>
      <c r="F36" s="4" t="s">
        <v>293</v>
      </c>
      <c r="G36" s="4" t="s">
        <v>304</v>
      </c>
      <c r="H36" s="8"/>
      <c r="I36" s="3"/>
      <c r="J36" s="6" t="s">
        <v>295</v>
      </c>
      <c r="K36" s="4" t="s">
        <v>305</v>
      </c>
      <c r="L36" s="3"/>
      <c r="M36" s="4" t="s">
        <v>33</v>
      </c>
      <c r="N36" s="3"/>
      <c r="O36" s="3"/>
      <c r="P36" s="3"/>
    </row>
    <row r="37">
      <c r="A37" s="3" t="s">
        <v>306</v>
      </c>
      <c r="B37" s="4" t="s">
        <v>61</v>
      </c>
      <c r="C37" s="4" t="s">
        <v>180</v>
      </c>
      <c r="D37" s="4" t="s">
        <v>181</v>
      </c>
      <c r="E37" s="4" t="s">
        <v>307</v>
      </c>
      <c r="F37" s="4" t="s">
        <v>308</v>
      </c>
      <c r="G37" s="4" t="s">
        <v>309</v>
      </c>
      <c r="H37" s="5" t="s">
        <v>112</v>
      </c>
      <c r="I37" s="4" t="s">
        <v>310</v>
      </c>
      <c r="J37" s="6" t="s">
        <v>311</v>
      </c>
      <c r="K37" s="4" t="s">
        <v>312</v>
      </c>
      <c r="L37" s="4" t="s">
        <v>313</v>
      </c>
      <c r="M37" s="4" t="s">
        <v>314</v>
      </c>
      <c r="N37" s="4" t="s">
        <v>105</v>
      </c>
      <c r="O37" s="3"/>
      <c r="P37" s="3"/>
    </row>
    <row r="38">
      <c r="A38" s="3" t="s">
        <v>315</v>
      </c>
      <c r="B38" s="4" t="s">
        <v>61</v>
      </c>
      <c r="C38" s="4" t="s">
        <v>50</v>
      </c>
      <c r="D38" s="4" t="s">
        <v>316</v>
      </c>
      <c r="E38" s="4" t="s">
        <v>278</v>
      </c>
      <c r="F38" s="4" t="s">
        <v>279</v>
      </c>
      <c r="G38" s="4" t="s">
        <v>61</v>
      </c>
      <c r="H38" s="5" t="s">
        <v>150</v>
      </c>
      <c r="I38" s="4" t="s">
        <v>280</v>
      </c>
      <c r="J38" s="6" t="s">
        <v>281</v>
      </c>
      <c r="K38" s="4" t="s">
        <v>282</v>
      </c>
      <c r="L38" s="4" t="s">
        <v>288</v>
      </c>
      <c r="M38" s="4" t="s">
        <v>289</v>
      </c>
      <c r="N38" s="4" t="s">
        <v>317</v>
      </c>
      <c r="O38" s="3"/>
      <c r="P38" s="3"/>
    </row>
    <row r="39">
      <c r="A39" s="3" t="s">
        <v>318</v>
      </c>
      <c r="B39" s="4" t="s">
        <v>61</v>
      </c>
      <c r="C39" s="4" t="s">
        <v>180</v>
      </c>
      <c r="D39" s="4" t="s">
        <v>319</v>
      </c>
      <c r="E39" s="4" t="s">
        <v>320</v>
      </c>
      <c r="F39" s="4" t="s">
        <v>321</v>
      </c>
      <c r="G39" s="4" t="s">
        <v>61</v>
      </c>
      <c r="H39" s="5" t="s">
        <v>222</v>
      </c>
      <c r="I39" s="4" t="s">
        <v>322</v>
      </c>
      <c r="J39" s="6" t="s">
        <v>323</v>
      </c>
      <c r="K39" s="4" t="s">
        <v>115</v>
      </c>
      <c r="L39" s="4" t="s">
        <v>324</v>
      </c>
      <c r="M39" s="4" t="s">
        <v>325</v>
      </c>
      <c r="N39" s="4" t="s">
        <v>105</v>
      </c>
      <c r="O39" s="3"/>
      <c r="P39" s="3"/>
    </row>
    <row r="40">
      <c r="A40" s="9">
        <v>46100.0</v>
      </c>
      <c r="B40" s="4" t="s">
        <v>61</v>
      </c>
      <c r="C40" s="4" t="s">
        <v>50</v>
      </c>
      <c r="D40" s="4" t="s">
        <v>326</v>
      </c>
      <c r="E40" s="4" t="s">
        <v>278</v>
      </c>
      <c r="F40" s="4" t="s">
        <v>279</v>
      </c>
      <c r="G40" s="4" t="s">
        <v>327</v>
      </c>
      <c r="H40" s="5" t="s">
        <v>150</v>
      </c>
      <c r="I40" s="4" t="s">
        <v>280</v>
      </c>
      <c r="J40" s="6" t="s">
        <v>281</v>
      </c>
      <c r="K40" s="4" t="s">
        <v>328</v>
      </c>
      <c r="L40" s="4" t="s">
        <v>288</v>
      </c>
      <c r="M40" s="4" t="s">
        <v>289</v>
      </c>
      <c r="N40" s="3"/>
      <c r="O40" s="3"/>
      <c r="P40" s="3"/>
    </row>
    <row r="41">
      <c r="A41" s="3" t="s">
        <v>329</v>
      </c>
      <c r="B41" s="4" t="s">
        <v>61</v>
      </c>
      <c r="C41" s="4" t="s">
        <v>190</v>
      </c>
      <c r="D41" s="4" t="s">
        <v>191</v>
      </c>
      <c r="E41" s="4" t="s">
        <v>330</v>
      </c>
      <c r="F41" s="4" t="s">
        <v>193</v>
      </c>
      <c r="G41" s="4" t="s">
        <v>61</v>
      </c>
      <c r="H41" s="5" t="s">
        <v>194</v>
      </c>
      <c r="I41" s="4" t="s">
        <v>56</v>
      </c>
      <c r="J41" s="6" t="s">
        <v>195</v>
      </c>
      <c r="K41" s="4" t="s">
        <v>196</v>
      </c>
      <c r="L41" s="4" t="s">
        <v>331</v>
      </c>
      <c r="M41" s="4" t="s">
        <v>332</v>
      </c>
      <c r="N41" s="3"/>
      <c r="O41" s="3"/>
      <c r="P41" s="3"/>
    </row>
    <row r="42">
      <c r="A42" s="3" t="s">
        <v>333</v>
      </c>
      <c r="B42" s="4" t="s">
        <v>61</v>
      </c>
      <c r="C42" s="4" t="s">
        <v>50</v>
      </c>
      <c r="D42" s="4" t="s">
        <v>51</v>
      </c>
      <c r="E42" s="4" t="s">
        <v>278</v>
      </c>
      <c r="F42" s="4" t="s">
        <v>279</v>
      </c>
      <c r="G42" s="4" t="s">
        <v>334</v>
      </c>
      <c r="H42" s="5" t="s">
        <v>150</v>
      </c>
      <c r="I42" s="4" t="s">
        <v>280</v>
      </c>
      <c r="J42" s="6" t="s">
        <v>281</v>
      </c>
      <c r="K42" s="4" t="s">
        <v>335</v>
      </c>
      <c r="L42" s="4" t="s">
        <v>336</v>
      </c>
      <c r="M42" s="4" t="s">
        <v>337</v>
      </c>
      <c r="N42" s="3"/>
      <c r="O42" s="3"/>
      <c r="P42" s="3"/>
    </row>
    <row r="43">
      <c r="A43" s="4" t="s">
        <v>338</v>
      </c>
      <c r="B43" s="4" t="s">
        <v>61</v>
      </c>
      <c r="C43" s="4" t="s">
        <v>228</v>
      </c>
      <c r="D43" s="4" t="s">
        <v>229</v>
      </c>
      <c r="E43" s="4" t="s">
        <v>339</v>
      </c>
      <c r="F43" s="4" t="s">
        <v>339</v>
      </c>
      <c r="G43" s="3"/>
      <c r="H43" s="8"/>
      <c r="I43" s="3"/>
      <c r="J43" s="3"/>
      <c r="K43" s="4" t="s">
        <v>340</v>
      </c>
      <c r="L43" s="3"/>
      <c r="M43" s="4" t="s">
        <v>33</v>
      </c>
      <c r="N43" s="3"/>
      <c r="O43" s="3"/>
      <c r="P43" s="3"/>
    </row>
    <row r="44">
      <c r="A44" s="4" t="s">
        <v>341</v>
      </c>
      <c r="B44" s="4" t="s">
        <v>61</v>
      </c>
      <c r="C44" s="4" t="s">
        <v>17</v>
      </c>
      <c r="D44" s="4" t="s">
        <v>298</v>
      </c>
      <c r="E44" s="4" t="s">
        <v>339</v>
      </c>
      <c r="F44" s="4" t="s">
        <v>339</v>
      </c>
      <c r="G44" s="3"/>
      <c r="H44" s="8"/>
      <c r="I44" s="3"/>
      <c r="J44" s="3"/>
      <c r="K44" s="4" t="s">
        <v>342</v>
      </c>
      <c r="L44" s="3"/>
      <c r="M44" s="4" t="s">
        <v>33</v>
      </c>
      <c r="N44" s="3"/>
      <c r="O44" s="3"/>
      <c r="P44" s="3"/>
    </row>
    <row r="45">
      <c r="A45" s="3" t="s">
        <v>343</v>
      </c>
      <c r="B45" s="4" t="s">
        <v>61</v>
      </c>
      <c r="C45" s="4" t="s">
        <v>190</v>
      </c>
      <c r="D45" s="4" t="s">
        <v>344</v>
      </c>
      <c r="E45" s="4" t="s">
        <v>345</v>
      </c>
      <c r="F45" s="4" t="s">
        <v>193</v>
      </c>
      <c r="G45" s="4" t="s">
        <v>61</v>
      </c>
      <c r="H45" s="5" t="s">
        <v>194</v>
      </c>
      <c r="I45" s="4" t="s">
        <v>56</v>
      </c>
      <c r="J45" s="6" t="s">
        <v>195</v>
      </c>
      <c r="K45" s="4" t="s">
        <v>196</v>
      </c>
      <c r="L45" s="4" t="s">
        <v>346</v>
      </c>
      <c r="M45" s="4" t="s">
        <v>332</v>
      </c>
      <c r="N45" s="4" t="s">
        <v>347</v>
      </c>
      <c r="O45" s="3"/>
      <c r="P45" s="3"/>
    </row>
    <row r="46">
      <c r="A46" s="4" t="s">
        <v>348</v>
      </c>
      <c r="B46" s="4" t="s">
        <v>61</v>
      </c>
      <c r="C46" s="4" t="s">
        <v>28</v>
      </c>
      <c r="D46" s="4" t="s">
        <v>29</v>
      </c>
      <c r="E46" s="4" t="s">
        <v>339</v>
      </c>
      <c r="F46" s="4" t="s">
        <v>339</v>
      </c>
      <c r="G46" s="3"/>
      <c r="H46" s="8"/>
      <c r="I46" s="3"/>
      <c r="J46" s="3"/>
      <c r="K46" s="4" t="s">
        <v>349</v>
      </c>
      <c r="L46" s="3"/>
      <c r="M46" s="4" t="s">
        <v>33</v>
      </c>
      <c r="N46" s="3"/>
      <c r="O46" s="3"/>
      <c r="P46" s="3"/>
    </row>
    <row r="47">
      <c r="A47" s="3" t="s">
        <v>350</v>
      </c>
      <c r="B47" s="4" t="s">
        <v>61</v>
      </c>
      <c r="C47" s="4" t="s">
        <v>351</v>
      </c>
      <c r="D47" s="4" t="s">
        <v>352</v>
      </c>
      <c r="E47" s="4" t="s">
        <v>353</v>
      </c>
      <c r="F47" s="4" t="s">
        <v>354</v>
      </c>
      <c r="G47" s="4" t="s">
        <v>61</v>
      </c>
      <c r="H47" s="5" t="s">
        <v>150</v>
      </c>
      <c r="I47" s="4" t="s">
        <v>67</v>
      </c>
      <c r="J47" s="6" t="s">
        <v>355</v>
      </c>
      <c r="K47" s="4" t="s">
        <v>356</v>
      </c>
      <c r="L47" s="4" t="s">
        <v>357</v>
      </c>
      <c r="M47" s="4" t="s">
        <v>358</v>
      </c>
      <c r="N47" s="4" t="s">
        <v>72</v>
      </c>
      <c r="O47" s="3"/>
      <c r="P47" s="3"/>
    </row>
    <row r="48">
      <c r="A48" s="4" t="s">
        <v>359</v>
      </c>
      <c r="B48" s="4" t="s">
        <v>61</v>
      </c>
      <c r="C48" s="4" t="s">
        <v>180</v>
      </c>
      <c r="D48" s="4" t="s">
        <v>319</v>
      </c>
      <c r="E48" s="4" t="s">
        <v>360</v>
      </c>
      <c r="F48" s="4" t="s">
        <v>361</v>
      </c>
      <c r="G48" s="3"/>
      <c r="H48" s="8"/>
      <c r="I48" s="3"/>
      <c r="J48" s="3"/>
      <c r="K48" s="4" t="s">
        <v>362</v>
      </c>
      <c r="L48" s="3"/>
      <c r="M48" s="4" t="s">
        <v>33</v>
      </c>
      <c r="N48" s="3"/>
      <c r="O48" s="3"/>
      <c r="P48" s="3"/>
    </row>
    <row r="49">
      <c r="A49" s="10">
        <v>45760.0</v>
      </c>
      <c r="B49" s="4" t="s">
        <v>363</v>
      </c>
      <c r="C49" s="4" t="s">
        <v>228</v>
      </c>
      <c r="D49" s="4" t="s">
        <v>229</v>
      </c>
      <c r="E49" s="4" t="s">
        <v>339</v>
      </c>
      <c r="F49" s="4" t="s">
        <v>364</v>
      </c>
      <c r="G49" s="4" t="s">
        <v>61</v>
      </c>
      <c r="H49" s="5" t="s">
        <v>61</v>
      </c>
      <c r="I49" s="4" t="s">
        <v>61</v>
      </c>
      <c r="J49" s="4" t="s">
        <v>61</v>
      </c>
      <c r="K49" s="4" t="s">
        <v>365</v>
      </c>
      <c r="L49" s="4" t="s">
        <v>366</v>
      </c>
      <c r="M49" s="4" t="s">
        <v>367</v>
      </c>
      <c r="N49" s="4" t="s">
        <v>368</v>
      </c>
      <c r="O49" s="4" t="s">
        <v>369</v>
      </c>
      <c r="P49" s="3"/>
    </row>
    <row r="50">
      <c r="A50" s="12" t="s">
        <v>370</v>
      </c>
      <c r="B50" s="4" t="s">
        <v>363</v>
      </c>
      <c r="C50" s="4" t="s">
        <v>17</v>
      </c>
      <c r="D50" s="4" t="s">
        <v>298</v>
      </c>
      <c r="E50" s="4" t="s">
        <v>339</v>
      </c>
      <c r="F50" s="4" t="s">
        <v>364</v>
      </c>
      <c r="G50" s="4" t="s">
        <v>61</v>
      </c>
      <c r="H50" s="5" t="s">
        <v>61</v>
      </c>
      <c r="I50" s="4" t="s">
        <v>61</v>
      </c>
      <c r="J50" s="4" t="s">
        <v>61</v>
      </c>
      <c r="K50" s="4" t="s">
        <v>371</v>
      </c>
      <c r="L50" s="4" t="s">
        <v>366</v>
      </c>
      <c r="M50" s="4" t="s">
        <v>372</v>
      </c>
      <c r="N50" s="4" t="s">
        <v>368</v>
      </c>
      <c r="O50" s="4" t="s">
        <v>369</v>
      </c>
      <c r="P50" s="3"/>
    </row>
    <row r="51">
      <c r="A51" s="10">
        <v>45762.0</v>
      </c>
      <c r="B51" s="4" t="s">
        <v>363</v>
      </c>
      <c r="C51" s="4" t="s">
        <v>28</v>
      </c>
      <c r="D51" s="4" t="s">
        <v>29</v>
      </c>
      <c r="E51" s="4" t="s">
        <v>339</v>
      </c>
      <c r="F51" s="4" t="s">
        <v>364</v>
      </c>
      <c r="G51" s="4" t="s">
        <v>61</v>
      </c>
      <c r="H51" s="5" t="s">
        <v>61</v>
      </c>
      <c r="I51" s="4" t="s">
        <v>61</v>
      </c>
      <c r="J51" s="4" t="s">
        <v>61</v>
      </c>
      <c r="K51" s="4" t="s">
        <v>373</v>
      </c>
      <c r="L51" s="4" t="s">
        <v>366</v>
      </c>
      <c r="M51" s="4" t="s">
        <v>374</v>
      </c>
      <c r="N51" s="4" t="s">
        <v>368</v>
      </c>
      <c r="O51" s="4" t="s">
        <v>369</v>
      </c>
      <c r="P51" s="3"/>
    </row>
    <row r="52">
      <c r="A52" s="9">
        <v>46127.0</v>
      </c>
      <c r="B52" s="4" t="s">
        <v>61</v>
      </c>
      <c r="C52" s="4" t="s">
        <v>50</v>
      </c>
      <c r="D52" s="4" t="s">
        <v>375</v>
      </c>
      <c r="E52" s="4" t="s">
        <v>278</v>
      </c>
      <c r="F52" s="4" t="s">
        <v>279</v>
      </c>
      <c r="G52" s="4" t="s">
        <v>376</v>
      </c>
      <c r="H52" s="5" t="s">
        <v>150</v>
      </c>
      <c r="I52" s="4" t="s">
        <v>377</v>
      </c>
      <c r="J52" s="6" t="s">
        <v>281</v>
      </c>
      <c r="K52" s="4" t="s">
        <v>378</v>
      </c>
      <c r="L52" s="4" t="s">
        <v>288</v>
      </c>
      <c r="M52" s="4" t="s">
        <v>379</v>
      </c>
      <c r="N52" s="3"/>
      <c r="O52" s="3"/>
      <c r="P52" s="3"/>
    </row>
    <row r="53">
      <c r="A53" s="12" t="s">
        <v>380</v>
      </c>
      <c r="B53" s="4" t="s">
        <v>363</v>
      </c>
      <c r="C53" s="4" t="s">
        <v>244</v>
      </c>
      <c r="D53" s="4" t="s">
        <v>381</v>
      </c>
      <c r="E53" s="4" t="s">
        <v>339</v>
      </c>
      <c r="F53" s="4" t="s">
        <v>364</v>
      </c>
      <c r="G53" s="4" t="s">
        <v>61</v>
      </c>
      <c r="H53" s="5" t="s">
        <v>61</v>
      </c>
      <c r="I53" s="4" t="s">
        <v>61</v>
      </c>
      <c r="J53" s="4" t="s">
        <v>61</v>
      </c>
      <c r="K53" s="4" t="s">
        <v>382</v>
      </c>
      <c r="L53" s="4" t="s">
        <v>366</v>
      </c>
      <c r="M53" s="4" t="s">
        <v>383</v>
      </c>
      <c r="N53" s="4" t="s">
        <v>368</v>
      </c>
      <c r="O53" s="4" t="s">
        <v>369</v>
      </c>
      <c r="P53" s="3"/>
    </row>
    <row r="54">
      <c r="A54" s="9">
        <v>46128.0</v>
      </c>
      <c r="B54" s="4" t="s">
        <v>61</v>
      </c>
      <c r="C54" s="4" t="s">
        <v>50</v>
      </c>
      <c r="D54" s="4" t="s">
        <v>384</v>
      </c>
      <c r="E54" s="4" t="s">
        <v>278</v>
      </c>
      <c r="F54" s="4" t="s">
        <v>279</v>
      </c>
      <c r="G54" s="4" t="s">
        <v>385</v>
      </c>
      <c r="H54" s="5" t="s">
        <v>150</v>
      </c>
      <c r="I54" s="4" t="s">
        <v>377</v>
      </c>
      <c r="J54" s="6" t="s">
        <v>281</v>
      </c>
      <c r="K54" s="4" t="s">
        <v>386</v>
      </c>
      <c r="L54" s="4" t="s">
        <v>288</v>
      </c>
      <c r="M54" s="4" t="s">
        <v>379</v>
      </c>
      <c r="N54" s="3"/>
      <c r="O54" s="3"/>
      <c r="P54" s="3"/>
    </row>
    <row r="55">
      <c r="A55" s="10">
        <v>45764.0</v>
      </c>
      <c r="B55" s="4" t="s">
        <v>363</v>
      </c>
      <c r="C55" s="4" t="s">
        <v>244</v>
      </c>
      <c r="D55" s="4" t="s">
        <v>387</v>
      </c>
      <c r="E55" s="4" t="s">
        <v>339</v>
      </c>
      <c r="F55" s="4" t="s">
        <v>364</v>
      </c>
      <c r="G55" s="4" t="s">
        <v>388</v>
      </c>
      <c r="H55" s="5" t="s">
        <v>61</v>
      </c>
      <c r="I55" s="4" t="s">
        <v>61</v>
      </c>
      <c r="J55" s="4" t="s">
        <v>61</v>
      </c>
      <c r="K55" s="4" t="s">
        <v>389</v>
      </c>
      <c r="L55" s="4" t="s">
        <v>366</v>
      </c>
      <c r="M55" s="4" t="s">
        <v>383</v>
      </c>
      <c r="N55" s="4" t="s">
        <v>368</v>
      </c>
      <c r="O55" s="4" t="s">
        <v>369</v>
      </c>
      <c r="P55" s="3"/>
    </row>
    <row r="56">
      <c r="A56" s="3" t="s">
        <v>390</v>
      </c>
      <c r="B56" s="4" t="s">
        <v>61</v>
      </c>
      <c r="C56" s="4" t="s">
        <v>133</v>
      </c>
      <c r="D56" s="4" t="s">
        <v>391</v>
      </c>
      <c r="E56" s="4" t="s">
        <v>392</v>
      </c>
      <c r="F56" s="4" t="s">
        <v>393</v>
      </c>
      <c r="G56" s="4" t="s">
        <v>393</v>
      </c>
      <c r="H56" s="5" t="s">
        <v>159</v>
      </c>
      <c r="I56" s="4" t="s">
        <v>394</v>
      </c>
      <c r="J56" s="6" t="s">
        <v>395</v>
      </c>
      <c r="K56" s="4" t="s">
        <v>396</v>
      </c>
      <c r="L56" s="4" t="s">
        <v>397</v>
      </c>
      <c r="M56" s="4" t="s">
        <v>398</v>
      </c>
      <c r="N56" s="4" t="s">
        <v>105</v>
      </c>
      <c r="O56" s="3"/>
      <c r="P56" s="3"/>
    </row>
    <row r="57">
      <c r="A57" s="3" t="s">
        <v>399</v>
      </c>
      <c r="B57" s="4" t="s">
        <v>61</v>
      </c>
      <c r="C57" s="4" t="s">
        <v>50</v>
      </c>
      <c r="D57" s="4" t="s">
        <v>400</v>
      </c>
      <c r="E57" s="4" t="s">
        <v>278</v>
      </c>
      <c r="F57" s="4" t="s">
        <v>279</v>
      </c>
      <c r="G57" s="4" t="s">
        <v>401</v>
      </c>
      <c r="H57" s="5" t="s">
        <v>150</v>
      </c>
      <c r="I57" s="4" t="s">
        <v>377</v>
      </c>
      <c r="J57" s="6" t="s">
        <v>281</v>
      </c>
      <c r="K57" s="4" t="s">
        <v>402</v>
      </c>
      <c r="L57" s="4" t="s">
        <v>288</v>
      </c>
      <c r="M57" s="4" t="s">
        <v>379</v>
      </c>
      <c r="N57" s="3"/>
      <c r="O57" s="3"/>
      <c r="P57" s="3"/>
    </row>
    <row r="58">
      <c r="A58" s="13">
        <v>46148.0</v>
      </c>
      <c r="B58" s="4" t="s">
        <v>61</v>
      </c>
      <c r="C58" s="4" t="s">
        <v>50</v>
      </c>
      <c r="D58" s="4" t="s">
        <v>403</v>
      </c>
      <c r="E58" s="4" t="s">
        <v>278</v>
      </c>
      <c r="F58" s="4" t="s">
        <v>279</v>
      </c>
      <c r="G58" s="4" t="s">
        <v>404</v>
      </c>
      <c r="H58" s="5" t="s">
        <v>150</v>
      </c>
      <c r="I58" s="4" t="s">
        <v>405</v>
      </c>
      <c r="J58" s="6" t="s">
        <v>281</v>
      </c>
      <c r="K58" s="4" t="s">
        <v>406</v>
      </c>
      <c r="L58" s="4" t="s">
        <v>288</v>
      </c>
      <c r="M58" s="4" t="s">
        <v>379</v>
      </c>
      <c r="N58" s="3"/>
      <c r="O58" s="3"/>
      <c r="P58" s="3"/>
    </row>
    <row r="59">
      <c r="A59" s="4" t="s">
        <v>407</v>
      </c>
      <c r="B59" s="4" t="s">
        <v>61</v>
      </c>
      <c r="C59" s="4" t="s">
        <v>190</v>
      </c>
      <c r="D59" s="4" t="s">
        <v>408</v>
      </c>
      <c r="E59" s="4" t="s">
        <v>409</v>
      </c>
      <c r="F59" s="3"/>
      <c r="G59" s="4" t="s">
        <v>410</v>
      </c>
      <c r="H59" s="8"/>
      <c r="I59" s="3"/>
      <c r="J59" s="3"/>
      <c r="K59" s="4" t="s">
        <v>411</v>
      </c>
      <c r="L59" s="3"/>
      <c r="M59" s="4" t="s">
        <v>33</v>
      </c>
      <c r="N59" s="3"/>
      <c r="O59" s="3"/>
      <c r="P59" s="3"/>
    </row>
    <row r="60">
      <c r="A60" s="4" t="s">
        <v>407</v>
      </c>
      <c r="B60" s="4" t="s">
        <v>61</v>
      </c>
      <c r="C60" s="4" t="s">
        <v>190</v>
      </c>
      <c r="D60" s="4" t="s">
        <v>239</v>
      </c>
      <c r="E60" s="4" t="s">
        <v>409</v>
      </c>
      <c r="F60" s="3"/>
      <c r="G60" s="4" t="s">
        <v>412</v>
      </c>
      <c r="H60" s="8"/>
      <c r="I60" s="3"/>
      <c r="J60" s="3"/>
      <c r="K60" s="4" t="s">
        <v>413</v>
      </c>
      <c r="L60" s="3"/>
      <c r="M60" s="4" t="s">
        <v>33</v>
      </c>
      <c r="N60" s="3"/>
      <c r="O60" s="3"/>
      <c r="P60" s="3"/>
    </row>
    <row r="61">
      <c r="A61" s="4" t="s">
        <v>414</v>
      </c>
      <c r="B61" s="4" t="s">
        <v>61</v>
      </c>
      <c r="C61" s="4" t="s">
        <v>415</v>
      </c>
      <c r="D61" s="4" t="s">
        <v>416</v>
      </c>
      <c r="E61" s="4" t="s">
        <v>417</v>
      </c>
      <c r="F61" s="3"/>
      <c r="G61" s="4" t="s">
        <v>418</v>
      </c>
      <c r="H61" s="8"/>
      <c r="I61" s="3"/>
      <c r="J61" s="3"/>
      <c r="K61" s="4" t="s">
        <v>419</v>
      </c>
      <c r="L61" s="3"/>
      <c r="M61" s="4" t="s">
        <v>33</v>
      </c>
      <c r="N61" s="3"/>
      <c r="O61" s="3"/>
      <c r="P61" s="3"/>
    </row>
    <row r="62">
      <c r="A62" s="9">
        <v>46175.0</v>
      </c>
      <c r="B62" s="4" t="s">
        <v>61</v>
      </c>
      <c r="C62" s="4" t="s">
        <v>50</v>
      </c>
      <c r="D62" s="4" t="s">
        <v>420</v>
      </c>
      <c r="E62" s="4" t="s">
        <v>278</v>
      </c>
      <c r="F62" s="4" t="s">
        <v>279</v>
      </c>
      <c r="G62" s="4" t="s">
        <v>421</v>
      </c>
      <c r="H62" s="5" t="s">
        <v>150</v>
      </c>
      <c r="I62" s="4" t="s">
        <v>422</v>
      </c>
      <c r="J62" s="6" t="s">
        <v>281</v>
      </c>
      <c r="K62" s="4" t="s">
        <v>423</v>
      </c>
      <c r="L62" s="4" t="s">
        <v>288</v>
      </c>
      <c r="M62" s="4" t="s">
        <v>379</v>
      </c>
      <c r="N62" s="3"/>
      <c r="O62" s="3"/>
      <c r="P62" s="3"/>
    </row>
    <row r="63">
      <c r="A63" s="3" t="s">
        <v>424</v>
      </c>
      <c r="B63" s="4" t="s">
        <v>61</v>
      </c>
      <c r="C63" s="4" t="s">
        <v>50</v>
      </c>
      <c r="D63" s="4" t="s">
        <v>425</v>
      </c>
      <c r="E63" s="4" t="s">
        <v>278</v>
      </c>
      <c r="F63" s="4" t="s">
        <v>279</v>
      </c>
      <c r="G63" s="4" t="s">
        <v>426</v>
      </c>
      <c r="H63" s="5" t="s">
        <v>150</v>
      </c>
      <c r="I63" s="4" t="s">
        <v>422</v>
      </c>
      <c r="J63" s="6" t="s">
        <v>281</v>
      </c>
      <c r="K63" s="4" t="s">
        <v>427</v>
      </c>
      <c r="L63" s="4" t="s">
        <v>428</v>
      </c>
      <c r="M63" s="4" t="s">
        <v>429</v>
      </c>
      <c r="N63" s="3"/>
      <c r="O63" s="3"/>
      <c r="P63" s="3"/>
    </row>
    <row r="64">
      <c r="A64" s="9">
        <v>46178.0</v>
      </c>
      <c r="B64" s="4" t="s">
        <v>61</v>
      </c>
      <c r="C64" s="4" t="s">
        <v>50</v>
      </c>
      <c r="D64" s="4" t="s">
        <v>430</v>
      </c>
      <c r="E64" s="4" t="s">
        <v>278</v>
      </c>
      <c r="F64" s="4" t="s">
        <v>279</v>
      </c>
      <c r="G64" s="4" t="s">
        <v>431</v>
      </c>
      <c r="H64" s="5" t="s">
        <v>150</v>
      </c>
      <c r="I64" s="4" t="s">
        <v>422</v>
      </c>
      <c r="J64" s="6" t="s">
        <v>281</v>
      </c>
      <c r="K64" s="4" t="s">
        <v>432</v>
      </c>
      <c r="L64" s="4" t="s">
        <v>288</v>
      </c>
      <c r="M64" s="4" t="s">
        <v>379</v>
      </c>
      <c r="N64" s="3"/>
      <c r="O64" s="3"/>
      <c r="P64" s="3"/>
    </row>
    <row r="65">
      <c r="A65" s="9">
        <v>46182.0</v>
      </c>
      <c r="B65" s="4" t="s">
        <v>61</v>
      </c>
      <c r="C65" s="4" t="s">
        <v>50</v>
      </c>
      <c r="D65" s="4" t="s">
        <v>433</v>
      </c>
      <c r="E65" s="4" t="s">
        <v>278</v>
      </c>
      <c r="F65" s="4" t="s">
        <v>279</v>
      </c>
      <c r="G65" s="4" t="s">
        <v>434</v>
      </c>
      <c r="H65" s="5" t="s">
        <v>150</v>
      </c>
      <c r="I65" s="4" t="s">
        <v>422</v>
      </c>
      <c r="J65" s="6" t="s">
        <v>281</v>
      </c>
      <c r="K65" s="4" t="s">
        <v>435</v>
      </c>
      <c r="L65" s="4" t="s">
        <v>288</v>
      </c>
      <c r="M65" s="4" t="s">
        <v>379</v>
      </c>
      <c r="N65" s="3"/>
      <c r="O65" s="3"/>
      <c r="P65" s="3"/>
    </row>
    <row r="66">
      <c r="A66" s="9">
        <v>46189.0</v>
      </c>
      <c r="B66" s="4" t="s">
        <v>61</v>
      </c>
      <c r="C66" s="4" t="s">
        <v>50</v>
      </c>
      <c r="D66" s="4" t="s">
        <v>436</v>
      </c>
      <c r="E66" s="4" t="s">
        <v>278</v>
      </c>
      <c r="F66" s="4" t="s">
        <v>279</v>
      </c>
      <c r="G66" s="4" t="s">
        <v>437</v>
      </c>
      <c r="H66" s="5" t="s">
        <v>150</v>
      </c>
      <c r="I66" s="4" t="s">
        <v>422</v>
      </c>
      <c r="J66" s="6" t="s">
        <v>281</v>
      </c>
      <c r="K66" s="4" t="s">
        <v>438</v>
      </c>
      <c r="L66" s="4" t="s">
        <v>288</v>
      </c>
      <c r="M66" s="4" t="s">
        <v>379</v>
      </c>
      <c r="N66" s="3"/>
      <c r="O66" s="3"/>
      <c r="P66" s="3"/>
    </row>
    <row r="67">
      <c r="A67" s="3" t="s">
        <v>439</v>
      </c>
      <c r="B67" s="4" t="s">
        <v>61</v>
      </c>
      <c r="C67" s="4" t="s">
        <v>50</v>
      </c>
      <c r="D67" s="4" t="s">
        <v>440</v>
      </c>
      <c r="E67" s="4" t="s">
        <v>278</v>
      </c>
      <c r="F67" s="4" t="s">
        <v>279</v>
      </c>
      <c r="G67" s="4" t="s">
        <v>441</v>
      </c>
      <c r="H67" s="5" t="s">
        <v>150</v>
      </c>
      <c r="I67" s="4" t="s">
        <v>422</v>
      </c>
      <c r="J67" s="6" t="s">
        <v>281</v>
      </c>
      <c r="K67" s="4" t="s">
        <v>442</v>
      </c>
      <c r="L67" s="4" t="s">
        <v>288</v>
      </c>
      <c r="M67" s="4" t="s">
        <v>379</v>
      </c>
      <c r="N67" s="3"/>
      <c r="O67" s="3"/>
      <c r="P67" s="3"/>
    </row>
    <row r="68">
      <c r="A68" s="9">
        <v>46192.0</v>
      </c>
      <c r="B68" s="4" t="s">
        <v>61</v>
      </c>
      <c r="C68" s="4" t="s">
        <v>50</v>
      </c>
      <c r="D68" s="4" t="s">
        <v>443</v>
      </c>
      <c r="E68" s="4" t="s">
        <v>278</v>
      </c>
      <c r="F68" s="4" t="s">
        <v>279</v>
      </c>
      <c r="G68" s="4" t="s">
        <v>444</v>
      </c>
      <c r="H68" s="5" t="s">
        <v>150</v>
      </c>
      <c r="I68" s="4" t="s">
        <v>422</v>
      </c>
      <c r="J68" s="6" t="s">
        <v>281</v>
      </c>
      <c r="K68" s="4" t="s">
        <v>445</v>
      </c>
      <c r="L68" s="4" t="s">
        <v>288</v>
      </c>
      <c r="M68" s="4" t="s">
        <v>379</v>
      </c>
      <c r="N68" s="3"/>
      <c r="O68" s="3"/>
      <c r="P68" s="3"/>
    </row>
    <row r="69">
      <c r="A69" s="3" t="s">
        <v>446</v>
      </c>
      <c r="B69" s="4" t="s">
        <v>61</v>
      </c>
      <c r="C69" s="4" t="s">
        <v>50</v>
      </c>
      <c r="D69" s="4" t="s">
        <v>447</v>
      </c>
      <c r="E69" s="4" t="s">
        <v>278</v>
      </c>
      <c r="F69" s="4" t="s">
        <v>279</v>
      </c>
      <c r="G69" s="4" t="s">
        <v>448</v>
      </c>
      <c r="H69" s="5" t="s">
        <v>150</v>
      </c>
      <c r="I69" s="4" t="s">
        <v>422</v>
      </c>
      <c r="J69" s="6" t="s">
        <v>281</v>
      </c>
      <c r="K69" s="4" t="s">
        <v>449</v>
      </c>
      <c r="L69" s="4" t="s">
        <v>450</v>
      </c>
      <c r="M69" s="4" t="s">
        <v>451</v>
      </c>
      <c r="N69" s="3"/>
      <c r="O69" s="3"/>
      <c r="P69" s="3"/>
    </row>
    <row r="70">
      <c r="A70" s="3" t="s">
        <v>452</v>
      </c>
      <c r="B70" s="4" t="s">
        <v>61</v>
      </c>
      <c r="C70" s="4" t="s">
        <v>50</v>
      </c>
      <c r="D70" s="4" t="s">
        <v>453</v>
      </c>
      <c r="E70" s="4" t="s">
        <v>278</v>
      </c>
      <c r="F70" s="4" t="s">
        <v>279</v>
      </c>
      <c r="G70" s="4" t="s">
        <v>454</v>
      </c>
      <c r="H70" s="5" t="s">
        <v>150</v>
      </c>
      <c r="I70" s="4" t="s">
        <v>422</v>
      </c>
      <c r="J70" s="6" t="s">
        <v>281</v>
      </c>
      <c r="K70" s="4" t="s">
        <v>455</v>
      </c>
      <c r="L70" s="4" t="s">
        <v>288</v>
      </c>
      <c r="M70" s="4" t="s">
        <v>379</v>
      </c>
      <c r="N70" s="3"/>
      <c r="O70" s="3"/>
      <c r="P70" s="3"/>
    </row>
    <row r="71">
      <c r="A71" s="9">
        <v>46199.0</v>
      </c>
      <c r="B71" s="4" t="s">
        <v>61</v>
      </c>
      <c r="C71" s="4" t="s">
        <v>50</v>
      </c>
      <c r="D71" s="4" t="s">
        <v>456</v>
      </c>
      <c r="E71" s="4" t="s">
        <v>278</v>
      </c>
      <c r="F71" s="4" t="s">
        <v>279</v>
      </c>
      <c r="G71" s="4" t="s">
        <v>457</v>
      </c>
      <c r="H71" s="5" t="s">
        <v>150</v>
      </c>
      <c r="I71" s="4" t="s">
        <v>422</v>
      </c>
      <c r="J71" s="6" t="s">
        <v>281</v>
      </c>
      <c r="K71" s="4" t="s">
        <v>458</v>
      </c>
      <c r="L71" s="4" t="s">
        <v>288</v>
      </c>
      <c r="M71" s="4" t="s">
        <v>379</v>
      </c>
      <c r="N71" s="3"/>
      <c r="O71" s="3"/>
      <c r="P71" s="3"/>
    </row>
    <row r="72">
      <c r="A72" s="9">
        <v>46203.0</v>
      </c>
      <c r="B72" s="4" t="s">
        <v>61</v>
      </c>
      <c r="C72" s="4" t="s">
        <v>50</v>
      </c>
      <c r="D72" s="4" t="s">
        <v>459</v>
      </c>
      <c r="E72" s="4" t="s">
        <v>278</v>
      </c>
      <c r="F72" s="4" t="s">
        <v>279</v>
      </c>
      <c r="G72" s="4" t="s">
        <v>460</v>
      </c>
      <c r="H72" s="5" t="s">
        <v>150</v>
      </c>
      <c r="I72" s="4" t="s">
        <v>422</v>
      </c>
      <c r="J72" s="6" t="s">
        <v>281</v>
      </c>
      <c r="K72" s="4" t="s">
        <v>461</v>
      </c>
      <c r="L72" s="4" t="s">
        <v>288</v>
      </c>
      <c r="M72" s="4" t="s">
        <v>379</v>
      </c>
      <c r="N72" s="3"/>
      <c r="O72" s="3"/>
      <c r="P72" s="3"/>
    </row>
    <row r="73">
      <c r="A73" s="9">
        <v>46204.0</v>
      </c>
      <c r="B73" s="4" t="s">
        <v>61</v>
      </c>
      <c r="C73" s="4" t="s">
        <v>50</v>
      </c>
      <c r="D73" s="4" t="s">
        <v>462</v>
      </c>
      <c r="E73" s="4" t="s">
        <v>278</v>
      </c>
      <c r="F73" s="4" t="s">
        <v>279</v>
      </c>
      <c r="G73" s="4" t="s">
        <v>463</v>
      </c>
      <c r="H73" s="5" t="s">
        <v>150</v>
      </c>
      <c r="I73" s="4" t="s">
        <v>464</v>
      </c>
      <c r="J73" s="6" t="s">
        <v>281</v>
      </c>
      <c r="K73" s="4" t="s">
        <v>465</v>
      </c>
      <c r="L73" s="4" t="s">
        <v>288</v>
      </c>
      <c r="M73" s="4" t="s">
        <v>379</v>
      </c>
      <c r="N73" s="3"/>
      <c r="O73" s="3"/>
      <c r="P73" s="3"/>
    </row>
    <row r="74">
      <c r="A74" s="3" t="s">
        <v>466</v>
      </c>
      <c r="B74" s="4" t="s">
        <v>61</v>
      </c>
      <c r="C74" s="4" t="s">
        <v>467</v>
      </c>
      <c r="D74" s="4" t="s">
        <v>468</v>
      </c>
      <c r="E74" s="4" t="s">
        <v>469</v>
      </c>
      <c r="F74" s="4" t="s">
        <v>470</v>
      </c>
      <c r="G74" s="4" t="s">
        <v>61</v>
      </c>
      <c r="H74" s="5" t="s">
        <v>150</v>
      </c>
      <c r="I74" s="4" t="s">
        <v>67</v>
      </c>
      <c r="J74" s="6" t="s">
        <v>471</v>
      </c>
      <c r="K74" s="4" t="s">
        <v>472</v>
      </c>
      <c r="L74" s="4" t="s">
        <v>473</v>
      </c>
      <c r="M74" s="4" t="s">
        <v>474</v>
      </c>
      <c r="N74" s="4" t="s">
        <v>72</v>
      </c>
      <c r="O74" s="3"/>
      <c r="P74" s="3"/>
    </row>
    <row r="75">
      <c r="A75" s="3"/>
      <c r="B75" s="3"/>
      <c r="C75" s="3"/>
      <c r="D75" s="3"/>
      <c r="E75" s="3"/>
      <c r="F75" s="3"/>
      <c r="G75" s="3"/>
      <c r="H75" s="3"/>
      <c r="I75" s="3"/>
      <c r="J75" s="3"/>
      <c r="K75" s="3"/>
      <c r="L75" s="3"/>
      <c r="M75" s="3"/>
      <c r="N75" s="3"/>
      <c r="O75" s="3"/>
      <c r="P75" s="3"/>
    </row>
    <row r="76">
      <c r="A76" s="3"/>
      <c r="B76" s="3"/>
      <c r="C76" s="3"/>
      <c r="D76" s="3"/>
      <c r="E76" s="3"/>
      <c r="F76" s="3"/>
      <c r="G76" s="3"/>
      <c r="H76" s="3"/>
      <c r="I76" s="3"/>
      <c r="J76" s="3"/>
      <c r="K76" s="3"/>
      <c r="L76" s="3"/>
      <c r="M76" s="3"/>
      <c r="N76" s="3"/>
      <c r="O76" s="3"/>
      <c r="P76" s="3"/>
    </row>
    <row r="77">
      <c r="A77" s="3"/>
      <c r="B77" s="3"/>
      <c r="C77" s="3"/>
      <c r="D77" s="3"/>
      <c r="E77" s="3"/>
      <c r="F77" s="3"/>
      <c r="G77" s="3"/>
      <c r="H77" s="3"/>
      <c r="I77" s="3"/>
      <c r="J77" s="3"/>
      <c r="K77" s="3"/>
      <c r="L77" s="3"/>
      <c r="M77" s="3"/>
      <c r="N77" s="3"/>
      <c r="O77" s="3"/>
      <c r="P77" s="3"/>
    </row>
    <row r="78">
      <c r="A78" s="3"/>
      <c r="B78" s="3"/>
      <c r="C78" s="4" t="s">
        <v>475</v>
      </c>
      <c r="G78" s="3"/>
      <c r="H78" s="3"/>
      <c r="I78" s="3"/>
      <c r="J78" s="3"/>
      <c r="K78" s="3"/>
      <c r="L78" s="3"/>
      <c r="M78" s="3"/>
      <c r="N78" s="3"/>
      <c r="O78" s="3"/>
      <c r="P78" s="3"/>
    </row>
    <row r="79">
      <c r="A79" s="3"/>
      <c r="B79" s="3"/>
      <c r="C79" s="3"/>
      <c r="D79" s="3"/>
      <c r="E79" s="3"/>
      <c r="F79" s="3"/>
      <c r="G79" s="3"/>
      <c r="H79" s="3"/>
      <c r="I79" s="3"/>
      <c r="J79" s="3"/>
      <c r="K79" s="3"/>
      <c r="L79" s="3"/>
      <c r="M79" s="3"/>
      <c r="N79" s="3"/>
      <c r="O79" s="3"/>
      <c r="P79" s="3"/>
    </row>
    <row r="80">
      <c r="A80" s="3"/>
      <c r="B80" s="3"/>
      <c r="C80" s="14" t="s">
        <v>476</v>
      </c>
      <c r="D80" s="14" t="s">
        <v>477</v>
      </c>
      <c r="I80" s="3"/>
      <c r="J80" s="3"/>
      <c r="K80" s="3"/>
      <c r="L80" s="3"/>
      <c r="M80" s="3"/>
      <c r="N80" s="3"/>
      <c r="O80" s="3"/>
      <c r="P80" s="3"/>
    </row>
    <row r="81">
      <c r="A81" s="3"/>
      <c r="B81" s="3"/>
      <c r="C81" s="14" t="s">
        <v>478</v>
      </c>
      <c r="D81" s="14" t="s">
        <v>479</v>
      </c>
      <c r="I81" s="3"/>
      <c r="J81" s="3"/>
      <c r="K81" s="3"/>
      <c r="L81" s="3"/>
      <c r="M81" s="3"/>
      <c r="N81" s="3"/>
      <c r="O81" s="3"/>
      <c r="P81" s="3"/>
    </row>
    <row r="82">
      <c r="A82" s="3"/>
      <c r="B82" s="3"/>
      <c r="C82" s="14" t="s">
        <v>480</v>
      </c>
      <c r="D82" s="14" t="s">
        <v>481</v>
      </c>
      <c r="I82" s="3"/>
      <c r="J82" s="3"/>
      <c r="K82" s="3"/>
      <c r="L82" s="3"/>
      <c r="M82" s="3"/>
      <c r="N82" s="3"/>
      <c r="O82" s="3"/>
      <c r="P82" s="3"/>
    </row>
    <row r="83">
      <c r="A83" s="3"/>
      <c r="B83" s="3"/>
      <c r="C83" s="3"/>
      <c r="D83" s="3"/>
      <c r="E83" s="3"/>
      <c r="F83" s="3"/>
      <c r="G83" s="3"/>
      <c r="H83" s="3"/>
      <c r="I83" s="3"/>
      <c r="J83" s="3"/>
      <c r="K83" s="3"/>
      <c r="L83" s="3"/>
      <c r="M83" s="3"/>
      <c r="N83" s="3"/>
      <c r="O83" s="3"/>
      <c r="P83" s="3"/>
    </row>
    <row r="84">
      <c r="A84" s="3"/>
      <c r="B84" s="3"/>
      <c r="C84" s="3"/>
      <c r="D84" s="3"/>
      <c r="E84" s="3"/>
      <c r="F84" s="3"/>
      <c r="G84" s="3"/>
      <c r="H84" s="3"/>
      <c r="I84" s="3"/>
      <c r="J84" s="3"/>
      <c r="K84" s="3"/>
      <c r="L84" s="3"/>
      <c r="M84" s="3"/>
      <c r="N84" s="3"/>
      <c r="O84" s="3"/>
      <c r="P84" s="3"/>
    </row>
    <row r="85">
      <c r="A85" s="3"/>
      <c r="B85" s="4" t="s">
        <v>482</v>
      </c>
      <c r="C85" s="15" t="s">
        <v>483</v>
      </c>
      <c r="I85" s="3"/>
      <c r="J85" s="3"/>
      <c r="K85" s="3"/>
      <c r="L85" s="3"/>
      <c r="M85" s="3"/>
      <c r="N85" s="3"/>
      <c r="O85" s="3"/>
      <c r="P85" s="3"/>
    </row>
    <row r="86">
      <c r="A86" s="3"/>
      <c r="B86" s="3"/>
      <c r="I86" s="3"/>
      <c r="J86" s="3"/>
      <c r="K86" s="3"/>
      <c r="L86" s="3"/>
      <c r="M86" s="3"/>
      <c r="N86" s="3"/>
      <c r="O86" s="3"/>
      <c r="P86" s="3"/>
    </row>
    <row r="87">
      <c r="A87" s="3"/>
      <c r="B87" s="3"/>
      <c r="I87" s="3"/>
      <c r="J87" s="3"/>
      <c r="K87" s="3"/>
      <c r="L87" s="3"/>
      <c r="M87" s="3"/>
      <c r="N87" s="3"/>
      <c r="O87" s="3"/>
      <c r="P87" s="3"/>
    </row>
    <row r="88">
      <c r="A88" s="3"/>
      <c r="B88" s="3"/>
      <c r="I88" s="3"/>
      <c r="J88" s="3"/>
      <c r="K88" s="3"/>
      <c r="L88" s="3"/>
      <c r="M88" s="3"/>
      <c r="N88" s="3"/>
      <c r="O88" s="3"/>
      <c r="P88" s="3"/>
    </row>
    <row r="89">
      <c r="A89" s="3"/>
      <c r="B89" s="3"/>
      <c r="C89" s="3"/>
      <c r="D89" s="3"/>
      <c r="E89" s="3"/>
      <c r="F89" s="3"/>
      <c r="G89" s="3"/>
      <c r="H89" s="3"/>
      <c r="I89" s="3"/>
      <c r="J89" s="3"/>
      <c r="K89" s="3"/>
      <c r="L89" s="3"/>
      <c r="M89" s="3"/>
      <c r="N89" s="3"/>
      <c r="O89" s="3"/>
      <c r="P89" s="3"/>
    </row>
    <row r="90">
      <c r="A90" s="3"/>
      <c r="B90" s="3"/>
      <c r="C90" s="3"/>
      <c r="D90" s="3"/>
      <c r="E90" s="3"/>
      <c r="F90" s="3"/>
      <c r="G90" s="3"/>
      <c r="H90" s="3"/>
      <c r="I90" s="3"/>
      <c r="J90" s="3"/>
      <c r="K90" s="3"/>
      <c r="L90" s="3"/>
      <c r="M90" s="3"/>
      <c r="N90" s="3"/>
      <c r="O90" s="3"/>
      <c r="P90" s="3"/>
    </row>
    <row r="91">
      <c r="A91" s="3"/>
      <c r="B91" s="3"/>
      <c r="C91" s="3"/>
      <c r="D91" s="3"/>
      <c r="E91" s="3"/>
      <c r="F91" s="3"/>
      <c r="G91" s="3"/>
      <c r="H91" s="3"/>
      <c r="I91" s="3"/>
      <c r="J91" s="3"/>
      <c r="K91" s="3"/>
      <c r="L91" s="3"/>
      <c r="M91" s="3"/>
      <c r="N91" s="3"/>
      <c r="O91" s="3"/>
      <c r="P91" s="3"/>
    </row>
    <row r="92">
      <c r="A92" s="3"/>
      <c r="B92" s="3"/>
      <c r="C92" s="3"/>
      <c r="D92" s="3"/>
      <c r="E92" s="3"/>
      <c r="F92" s="3"/>
      <c r="G92" s="3"/>
      <c r="H92" s="3"/>
      <c r="I92" s="3"/>
      <c r="J92" s="3"/>
      <c r="K92" s="3"/>
      <c r="L92" s="3"/>
      <c r="M92" s="3"/>
      <c r="N92" s="3"/>
      <c r="O92" s="3"/>
      <c r="P92" s="3"/>
    </row>
    <row r="93">
      <c r="A93" s="3"/>
      <c r="B93" s="3"/>
      <c r="C93" s="3"/>
      <c r="D93" s="3"/>
      <c r="E93" s="3"/>
      <c r="F93" s="3"/>
      <c r="G93" s="3"/>
      <c r="H93" s="3"/>
      <c r="I93" s="3"/>
      <c r="J93" s="3"/>
      <c r="K93" s="3"/>
      <c r="L93" s="3"/>
      <c r="M93" s="3"/>
      <c r="N93" s="3"/>
      <c r="O93" s="3"/>
      <c r="P93" s="3"/>
    </row>
    <row r="94">
      <c r="A94" s="3"/>
      <c r="B94" s="3"/>
      <c r="C94" s="3"/>
      <c r="D94" s="3"/>
      <c r="E94" s="3"/>
      <c r="F94" s="3"/>
      <c r="G94" s="3"/>
      <c r="H94" s="3"/>
      <c r="I94" s="3"/>
      <c r="J94" s="3"/>
      <c r="K94" s="3"/>
      <c r="L94" s="3"/>
      <c r="M94" s="3"/>
      <c r="N94" s="3"/>
      <c r="O94" s="3"/>
      <c r="P94" s="3"/>
    </row>
    <row r="95">
      <c r="A95" s="3"/>
      <c r="B95" s="3"/>
      <c r="C95" s="3"/>
      <c r="D95" s="3"/>
      <c r="E95" s="3"/>
      <c r="F95" s="3"/>
      <c r="G95" s="3"/>
      <c r="H95" s="3"/>
      <c r="I95" s="3"/>
      <c r="J95" s="3"/>
      <c r="K95" s="3"/>
      <c r="L95" s="3"/>
      <c r="M95" s="3"/>
      <c r="N95" s="3"/>
      <c r="O95" s="3"/>
      <c r="P95" s="3"/>
    </row>
    <row r="96">
      <c r="A96" s="3"/>
      <c r="B96" s="3"/>
      <c r="C96" s="3"/>
      <c r="D96" s="3"/>
      <c r="E96" s="3"/>
      <c r="F96" s="3"/>
      <c r="G96" s="3"/>
      <c r="H96" s="3"/>
      <c r="I96" s="3"/>
      <c r="J96" s="3"/>
      <c r="K96" s="3"/>
      <c r="L96" s="3"/>
      <c r="M96" s="3"/>
      <c r="N96" s="3"/>
      <c r="O96" s="3"/>
      <c r="P96" s="3"/>
    </row>
    <row r="97">
      <c r="A97" s="3"/>
      <c r="B97" s="3"/>
      <c r="C97" s="3"/>
      <c r="D97" s="3"/>
      <c r="E97" s="3"/>
      <c r="F97" s="3"/>
      <c r="G97" s="3"/>
      <c r="H97" s="3"/>
      <c r="I97" s="3"/>
      <c r="J97" s="3"/>
      <c r="K97" s="3"/>
      <c r="L97" s="3"/>
      <c r="M97" s="3"/>
      <c r="N97" s="3"/>
      <c r="O97" s="3"/>
      <c r="P97" s="3"/>
    </row>
    <row r="98">
      <c r="A98" s="3"/>
      <c r="B98" s="3"/>
      <c r="C98" s="3"/>
      <c r="D98" s="3"/>
      <c r="E98" s="3"/>
      <c r="F98" s="3"/>
      <c r="G98" s="3"/>
      <c r="H98" s="3"/>
      <c r="I98" s="3"/>
      <c r="J98" s="3"/>
      <c r="K98" s="3"/>
      <c r="L98" s="3"/>
      <c r="M98" s="3"/>
      <c r="N98" s="3"/>
      <c r="O98" s="3"/>
      <c r="P98" s="3"/>
    </row>
    <row r="99">
      <c r="A99" s="3"/>
      <c r="B99" s="3"/>
      <c r="C99" s="3"/>
      <c r="D99" s="3"/>
      <c r="E99" s="3"/>
      <c r="F99" s="3"/>
      <c r="G99" s="3"/>
      <c r="H99" s="3"/>
      <c r="I99" s="3"/>
      <c r="J99" s="3"/>
      <c r="K99" s="3"/>
      <c r="L99" s="3"/>
      <c r="M99" s="3"/>
      <c r="N99" s="3"/>
      <c r="O99" s="3"/>
      <c r="P99" s="3"/>
    </row>
    <row r="100">
      <c r="A100" s="3"/>
      <c r="B100" s="3"/>
      <c r="C100" s="3"/>
      <c r="D100" s="3"/>
      <c r="E100" s="3"/>
      <c r="F100" s="3"/>
      <c r="G100" s="3"/>
      <c r="H100" s="3"/>
      <c r="I100" s="3"/>
      <c r="J100" s="3"/>
      <c r="K100" s="3"/>
      <c r="L100" s="3"/>
      <c r="M100" s="3"/>
      <c r="N100" s="3"/>
      <c r="O100" s="3"/>
      <c r="P100" s="3"/>
    </row>
    <row r="101">
      <c r="A101" s="3"/>
      <c r="B101" s="3"/>
      <c r="C101" s="3"/>
      <c r="D101" s="3"/>
      <c r="E101" s="3"/>
      <c r="F101" s="3"/>
      <c r="G101" s="3"/>
      <c r="H101" s="3"/>
      <c r="I101" s="3"/>
      <c r="J101" s="3"/>
      <c r="K101" s="3"/>
      <c r="L101" s="3"/>
      <c r="M101" s="3"/>
      <c r="N101" s="3"/>
      <c r="O101" s="3"/>
      <c r="P101" s="3"/>
    </row>
  </sheetData>
  <mergeCells count="5">
    <mergeCell ref="C78:F78"/>
    <mergeCell ref="D80:H80"/>
    <mergeCell ref="D81:H81"/>
    <mergeCell ref="D82:H82"/>
    <mergeCell ref="C85:H88"/>
  </mergeCells>
  <dataValidations>
    <dataValidation type="list" allowBlank="1" showErrorMessage="1" sqref="N3 N5:N13 N15 N17:N19 N22:N23 N25:N26 N28 N34:N37 N39 N46:N47 N56 N74">
      <formula1>"We are already going,This looks interesting,Expensive"</formula1>
    </dataValidation>
  </dataValidations>
  <hyperlinks>
    <hyperlink r:id="rId1" ref="J2"/>
    <hyperlink r:id="rId2" ref="J4"/>
    <hyperlink r:id="rId3" ref="J5"/>
    <hyperlink r:id="rId4" ref="J6"/>
    <hyperlink r:id="rId5" ref="J7"/>
    <hyperlink r:id="rId6" ref="J8"/>
    <hyperlink r:id="rId7" ref="J9"/>
    <hyperlink r:id="rId8" ref="J10"/>
    <hyperlink r:id="rId9" ref="J11"/>
    <hyperlink r:id="rId10" ref="J13"/>
    <hyperlink r:id="rId11" ref="J14"/>
    <hyperlink r:id="rId12" ref="J15"/>
    <hyperlink r:id="rId13" ref="J16"/>
    <hyperlink r:id="rId14" ref="J17"/>
    <hyperlink r:id="rId15" ref="J18"/>
    <hyperlink r:id="rId16" ref="J19"/>
    <hyperlink r:id="rId17" ref="J21"/>
    <hyperlink r:id="rId18" ref="J22"/>
    <hyperlink r:id="rId19" ref="J23"/>
    <hyperlink r:id="rId20" ref="J24"/>
    <hyperlink r:id="rId21" ref="J25"/>
    <hyperlink r:id="rId22" ref="J26"/>
    <hyperlink r:id="rId23" ref="J27"/>
    <hyperlink r:id="rId24" ref="J28"/>
    <hyperlink r:id="rId25" ref="J31"/>
    <hyperlink r:id="rId26" ref="J32"/>
    <hyperlink r:id="rId27" ref="J33"/>
    <hyperlink r:id="rId28" ref="J34"/>
    <hyperlink r:id="rId29" ref="J35"/>
    <hyperlink r:id="rId30" ref="J36"/>
    <hyperlink r:id="rId31" ref="J37"/>
    <hyperlink r:id="rId32" ref="J38"/>
    <hyperlink r:id="rId33" ref="J39"/>
    <hyperlink r:id="rId34" ref="J40"/>
    <hyperlink r:id="rId35" ref="J41"/>
    <hyperlink r:id="rId36" ref="J42"/>
    <hyperlink r:id="rId37" ref="J45"/>
    <hyperlink r:id="rId38" ref="J47"/>
    <hyperlink r:id="rId39" ref="J52"/>
    <hyperlink r:id="rId40" ref="J54"/>
    <hyperlink r:id="rId41" ref="J56"/>
    <hyperlink r:id="rId42" ref="J57"/>
    <hyperlink r:id="rId43" ref="J58"/>
    <hyperlink r:id="rId44" ref="J62"/>
    <hyperlink r:id="rId45" ref="J63"/>
    <hyperlink r:id="rId46" ref="J64"/>
    <hyperlink r:id="rId47" ref="J65"/>
    <hyperlink r:id="rId48" ref="J66"/>
    <hyperlink r:id="rId49" ref="J67"/>
    <hyperlink r:id="rId50" ref="J68"/>
    <hyperlink r:id="rId51" ref="J69"/>
    <hyperlink r:id="rId52" ref="J70"/>
    <hyperlink r:id="rId53" ref="J71"/>
    <hyperlink r:id="rId54" ref="J72"/>
    <hyperlink r:id="rId55" ref="J73"/>
    <hyperlink r:id="rId56" ref="J74"/>
  </hyperlinks>
  <drawing r:id="rId5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19.75"/>
  </cols>
  <sheetData>
    <row r="1">
      <c r="A1" s="16" t="s">
        <v>484</v>
      </c>
      <c r="B1" s="16" t="s">
        <v>0</v>
      </c>
      <c r="C1" s="16"/>
      <c r="D1" s="16" t="s">
        <v>485</v>
      </c>
      <c r="E1" s="16" t="s">
        <v>486</v>
      </c>
      <c r="F1" s="16" t="s">
        <v>2</v>
      </c>
      <c r="G1" s="16" t="s">
        <v>3</v>
      </c>
      <c r="H1" s="16" t="s">
        <v>487</v>
      </c>
      <c r="I1" s="16" t="s">
        <v>488</v>
      </c>
      <c r="J1" s="16" t="s">
        <v>489</v>
      </c>
      <c r="K1" s="16" t="s">
        <v>490</v>
      </c>
      <c r="L1" s="16" t="s">
        <v>491</v>
      </c>
      <c r="M1" s="16" t="s">
        <v>492</v>
      </c>
      <c r="N1" s="16" t="s">
        <v>493</v>
      </c>
      <c r="O1" s="16" t="s">
        <v>494</v>
      </c>
      <c r="P1" s="16" t="s">
        <v>495</v>
      </c>
      <c r="Q1" s="16" t="s">
        <v>496</v>
      </c>
      <c r="R1" s="17"/>
      <c r="S1" s="17"/>
      <c r="T1" s="17"/>
    </row>
    <row r="2">
      <c r="A2" s="18" t="s">
        <v>30</v>
      </c>
      <c r="B2" s="19">
        <v>45920.0</v>
      </c>
      <c r="C2" s="16" t="s">
        <v>497</v>
      </c>
      <c r="D2" s="16" t="s">
        <v>498</v>
      </c>
      <c r="E2" s="16" t="s">
        <v>499</v>
      </c>
      <c r="F2" s="16" t="s">
        <v>28</v>
      </c>
      <c r="G2" s="16" t="s">
        <v>29</v>
      </c>
      <c r="H2" s="16" t="s">
        <v>500</v>
      </c>
      <c r="I2" s="16" t="s">
        <v>501</v>
      </c>
      <c r="J2" s="17"/>
      <c r="K2" s="16" t="s">
        <v>502</v>
      </c>
      <c r="L2" s="16" t="s">
        <v>503</v>
      </c>
      <c r="M2" s="16" t="s">
        <v>504</v>
      </c>
      <c r="N2" s="16" t="s">
        <v>505</v>
      </c>
      <c r="O2" s="16" t="s">
        <v>506</v>
      </c>
      <c r="P2" s="16" t="s">
        <v>507</v>
      </c>
      <c r="Q2" s="16" t="s">
        <v>508</v>
      </c>
      <c r="R2" s="17"/>
      <c r="S2" s="17"/>
      <c r="T2" s="17"/>
    </row>
    <row r="3">
      <c r="A3" s="18" t="s">
        <v>509</v>
      </c>
      <c r="B3" s="19">
        <v>45930.0</v>
      </c>
      <c r="C3" s="17"/>
      <c r="D3" s="17"/>
      <c r="E3" s="17"/>
      <c r="F3" s="16" t="s">
        <v>180</v>
      </c>
      <c r="G3" s="16" t="s">
        <v>181</v>
      </c>
      <c r="H3" s="16" t="s">
        <v>510</v>
      </c>
      <c r="I3" s="20"/>
      <c r="J3" s="17"/>
      <c r="K3" s="17"/>
      <c r="L3" s="17"/>
      <c r="M3" s="17"/>
      <c r="N3" s="20"/>
      <c r="O3" s="17"/>
      <c r="P3" s="17"/>
      <c r="Q3" s="17"/>
      <c r="R3" s="17"/>
      <c r="S3" s="17"/>
      <c r="T3" s="17"/>
    </row>
    <row r="4">
      <c r="A4" s="18" t="s">
        <v>121</v>
      </c>
      <c r="B4" s="19">
        <v>45945.0</v>
      </c>
      <c r="C4" s="16"/>
      <c r="D4" s="16" t="s">
        <v>511</v>
      </c>
      <c r="E4" s="16" t="s">
        <v>123</v>
      </c>
      <c r="F4" s="16" t="s">
        <v>119</v>
      </c>
      <c r="G4" s="16" t="s">
        <v>120</v>
      </c>
      <c r="H4" s="16" t="s">
        <v>124</v>
      </c>
      <c r="I4" s="20"/>
      <c r="J4" s="17"/>
      <c r="K4" s="17"/>
      <c r="L4" s="17"/>
      <c r="M4" s="17"/>
      <c r="N4" s="20"/>
      <c r="O4" s="17"/>
      <c r="P4" s="17"/>
      <c r="Q4" s="17"/>
      <c r="R4" s="17"/>
      <c r="S4" s="17"/>
      <c r="T4" s="17"/>
    </row>
    <row r="5">
      <c r="A5" s="18" t="s">
        <v>52</v>
      </c>
      <c r="B5" s="16" t="s">
        <v>512</v>
      </c>
      <c r="C5" s="16"/>
      <c r="D5" s="16" t="s">
        <v>513</v>
      </c>
      <c r="E5" s="16" t="s">
        <v>514</v>
      </c>
      <c r="F5" s="16" t="s">
        <v>50</v>
      </c>
      <c r="G5" s="16" t="s">
        <v>51</v>
      </c>
      <c r="H5" s="16" t="s">
        <v>515</v>
      </c>
      <c r="I5" s="16" t="s">
        <v>516</v>
      </c>
      <c r="J5" s="16" t="s">
        <v>517</v>
      </c>
      <c r="K5" s="16" t="s">
        <v>518</v>
      </c>
      <c r="L5" s="16" t="s">
        <v>519</v>
      </c>
      <c r="M5" s="16" t="s">
        <v>520</v>
      </c>
      <c r="N5" s="16" t="s">
        <v>521</v>
      </c>
      <c r="O5" s="16" t="s">
        <v>522</v>
      </c>
      <c r="P5" s="16" t="s">
        <v>523</v>
      </c>
      <c r="Q5" s="16" t="s">
        <v>524</v>
      </c>
      <c r="R5" s="17"/>
      <c r="S5" s="17"/>
      <c r="T5" s="17"/>
    </row>
    <row r="6">
      <c r="A6" s="18" t="s">
        <v>525</v>
      </c>
      <c r="B6" s="19">
        <v>46052.0</v>
      </c>
      <c r="C6" s="17"/>
      <c r="D6" s="17"/>
      <c r="E6" s="16" t="s">
        <v>526</v>
      </c>
      <c r="F6" s="16" t="s">
        <v>17</v>
      </c>
      <c r="G6" s="16" t="s">
        <v>252</v>
      </c>
      <c r="H6" s="16" t="s">
        <v>527</v>
      </c>
      <c r="I6" s="20"/>
      <c r="J6" s="17"/>
      <c r="K6" s="17"/>
      <c r="L6" s="17"/>
      <c r="M6" s="16" t="s">
        <v>528</v>
      </c>
      <c r="N6" s="16" t="s">
        <v>529</v>
      </c>
      <c r="O6" s="16" t="s">
        <v>530</v>
      </c>
      <c r="P6" s="16" t="s">
        <v>531</v>
      </c>
      <c r="Q6" s="17"/>
      <c r="R6" s="17"/>
      <c r="S6" s="17"/>
      <c r="T6" s="17"/>
    </row>
    <row r="7">
      <c r="A7" s="18" t="s">
        <v>532</v>
      </c>
      <c r="B7" s="19">
        <v>45930.0</v>
      </c>
      <c r="C7" s="16"/>
      <c r="D7" s="16" t="s">
        <v>533</v>
      </c>
      <c r="E7" s="16" t="s">
        <v>534</v>
      </c>
      <c r="F7" s="16" t="s">
        <v>190</v>
      </c>
      <c r="G7" s="16" t="s">
        <v>239</v>
      </c>
      <c r="H7" s="20"/>
      <c r="I7" s="20"/>
      <c r="J7" s="17"/>
      <c r="K7" s="16" t="s">
        <v>535</v>
      </c>
      <c r="L7" s="16" t="s">
        <v>536</v>
      </c>
      <c r="M7" s="16" t="s">
        <v>537</v>
      </c>
      <c r="N7" s="16" t="s">
        <v>538</v>
      </c>
      <c r="O7" s="16" t="s">
        <v>539</v>
      </c>
      <c r="P7" s="17"/>
      <c r="Q7" s="16" t="s">
        <v>540</v>
      </c>
      <c r="R7" s="17"/>
      <c r="S7" s="17"/>
      <c r="T7" s="17"/>
    </row>
    <row r="8">
      <c r="A8" s="18" t="s">
        <v>541</v>
      </c>
      <c r="B8" s="19">
        <v>45931.0</v>
      </c>
      <c r="C8" s="16"/>
      <c r="D8" s="16" t="s">
        <v>542</v>
      </c>
      <c r="E8" s="16" t="s">
        <v>543</v>
      </c>
      <c r="F8" s="16" t="s">
        <v>544</v>
      </c>
      <c r="G8" s="16" t="s">
        <v>545</v>
      </c>
      <c r="H8" s="16" t="s">
        <v>546</v>
      </c>
      <c r="I8" s="17"/>
      <c r="J8" s="17"/>
      <c r="K8" s="16" t="s">
        <v>547</v>
      </c>
      <c r="L8" s="16" t="s">
        <v>548</v>
      </c>
      <c r="M8" s="16" t="s">
        <v>549</v>
      </c>
      <c r="N8" s="16" t="s">
        <v>550</v>
      </c>
      <c r="O8" s="16" t="s">
        <v>551</v>
      </c>
      <c r="P8" s="16" t="s">
        <v>552</v>
      </c>
      <c r="Q8" s="16" t="s">
        <v>553</v>
      </c>
      <c r="R8" s="17"/>
      <c r="S8" s="17"/>
      <c r="T8" s="17"/>
    </row>
    <row r="9">
      <c r="A9" s="16" t="s">
        <v>554</v>
      </c>
      <c r="B9" s="17"/>
      <c r="C9" s="17"/>
      <c r="D9" s="17"/>
      <c r="E9" s="17"/>
      <c r="F9" s="17"/>
      <c r="G9" s="17"/>
      <c r="H9" s="17"/>
      <c r="I9" s="17"/>
      <c r="J9" s="17"/>
      <c r="K9" s="17"/>
      <c r="L9" s="17"/>
      <c r="M9" s="17"/>
      <c r="N9" s="17"/>
      <c r="O9" s="17"/>
      <c r="P9" s="17"/>
      <c r="Q9" s="17"/>
      <c r="R9" s="17"/>
      <c r="S9" s="17"/>
      <c r="T9" s="17"/>
    </row>
    <row r="10">
      <c r="A10" s="17"/>
      <c r="B10" s="17"/>
      <c r="C10" s="17"/>
      <c r="D10" s="17"/>
      <c r="E10" s="17"/>
      <c r="F10" s="17"/>
      <c r="G10" s="17"/>
      <c r="H10" s="17"/>
      <c r="I10" s="17"/>
      <c r="J10" s="17"/>
      <c r="K10" s="17"/>
      <c r="L10" s="17"/>
      <c r="M10" s="17"/>
      <c r="N10" s="17"/>
      <c r="O10" s="17"/>
      <c r="P10" s="17"/>
      <c r="Q10" s="17"/>
      <c r="R10" s="17"/>
      <c r="S10" s="17"/>
      <c r="T10" s="17"/>
    </row>
    <row r="11">
      <c r="A11" s="17"/>
      <c r="B11" s="17"/>
      <c r="C11" s="17"/>
      <c r="D11" s="17"/>
      <c r="E11" s="17"/>
      <c r="F11" s="17"/>
      <c r="G11" s="17"/>
      <c r="H11" s="17"/>
      <c r="I11" s="17"/>
      <c r="J11" s="17"/>
      <c r="K11" s="17"/>
      <c r="L11" s="17"/>
      <c r="M11" s="17"/>
      <c r="N11" s="17"/>
      <c r="O11" s="17"/>
      <c r="P11" s="17"/>
      <c r="Q11" s="17"/>
      <c r="R11" s="17"/>
      <c r="S11" s="17"/>
      <c r="T11" s="17"/>
    </row>
    <row r="12">
      <c r="A12" s="17"/>
      <c r="B12" s="17"/>
      <c r="C12" s="17"/>
      <c r="D12" s="17"/>
      <c r="E12" s="17"/>
      <c r="F12" s="17"/>
      <c r="G12" s="17"/>
      <c r="H12" s="17"/>
      <c r="I12" s="17"/>
      <c r="J12" s="17"/>
      <c r="K12" s="17"/>
      <c r="L12" s="17"/>
      <c r="M12" s="17"/>
      <c r="N12" s="17"/>
      <c r="O12" s="17"/>
      <c r="P12" s="17"/>
      <c r="Q12" s="17"/>
      <c r="R12" s="17"/>
      <c r="S12" s="17"/>
      <c r="T12" s="17"/>
    </row>
    <row r="13">
      <c r="A13" s="17"/>
      <c r="B13" s="17"/>
      <c r="C13" s="17"/>
      <c r="D13" s="17"/>
      <c r="E13" s="17"/>
      <c r="F13" s="17"/>
      <c r="G13" s="17"/>
      <c r="H13" s="17"/>
      <c r="I13" s="17"/>
      <c r="J13" s="17"/>
      <c r="K13" s="17"/>
      <c r="L13" s="17"/>
      <c r="M13" s="17"/>
      <c r="N13" s="17"/>
      <c r="O13" s="17"/>
      <c r="P13" s="17"/>
      <c r="Q13" s="17"/>
      <c r="R13" s="17"/>
      <c r="S13" s="17"/>
      <c r="T13" s="17"/>
    </row>
    <row r="14">
      <c r="A14" s="17"/>
      <c r="B14" s="17"/>
      <c r="C14" s="17"/>
      <c r="D14" s="17"/>
      <c r="E14" s="17"/>
      <c r="F14" s="17"/>
      <c r="G14" s="17"/>
      <c r="H14" s="17"/>
      <c r="I14" s="17"/>
      <c r="J14" s="17"/>
      <c r="K14" s="17"/>
      <c r="L14" s="17"/>
      <c r="M14" s="17"/>
      <c r="N14" s="17"/>
      <c r="O14" s="17"/>
      <c r="P14" s="17"/>
      <c r="Q14" s="17"/>
      <c r="R14" s="17"/>
      <c r="S14" s="17"/>
      <c r="T14" s="17"/>
    </row>
    <row r="15">
      <c r="A15" s="17"/>
      <c r="B15" s="17"/>
      <c r="C15" s="17"/>
      <c r="D15" s="17"/>
      <c r="E15" s="17"/>
      <c r="F15" s="17"/>
      <c r="G15" s="17"/>
      <c r="H15" s="17"/>
      <c r="I15" s="17"/>
      <c r="J15" s="17"/>
      <c r="K15" s="17"/>
      <c r="L15" s="17"/>
      <c r="M15" s="17"/>
      <c r="N15" s="17"/>
      <c r="O15" s="17"/>
      <c r="P15" s="17"/>
      <c r="Q15" s="17"/>
      <c r="R15" s="17"/>
      <c r="S15" s="17"/>
      <c r="T15" s="17"/>
    </row>
    <row r="16">
      <c r="A16" s="17"/>
      <c r="B16" s="17"/>
      <c r="C16" s="17"/>
      <c r="D16" s="17"/>
      <c r="E16" s="17"/>
      <c r="F16" s="17"/>
      <c r="G16" s="17"/>
      <c r="H16" s="17"/>
      <c r="I16" s="17"/>
      <c r="J16" s="17"/>
      <c r="K16" s="17"/>
      <c r="L16" s="17"/>
      <c r="M16" s="17"/>
      <c r="N16" s="17"/>
      <c r="O16" s="17"/>
      <c r="P16" s="17"/>
      <c r="Q16" s="17"/>
      <c r="R16" s="17"/>
      <c r="S16" s="17"/>
      <c r="T16" s="17"/>
    </row>
    <row r="17">
      <c r="A17" s="17"/>
      <c r="B17" s="17"/>
      <c r="C17" s="17"/>
      <c r="D17" s="17"/>
      <c r="E17" s="17"/>
      <c r="F17" s="17"/>
      <c r="G17" s="17"/>
      <c r="H17" s="17"/>
      <c r="I17" s="17"/>
      <c r="J17" s="17"/>
      <c r="K17" s="17"/>
      <c r="L17" s="17"/>
      <c r="M17" s="17"/>
      <c r="N17" s="17"/>
      <c r="O17" s="17"/>
      <c r="P17" s="17"/>
      <c r="Q17" s="17"/>
      <c r="R17" s="17"/>
      <c r="S17" s="17"/>
      <c r="T17" s="17"/>
    </row>
    <row r="18">
      <c r="A18" s="17"/>
      <c r="B18" s="17"/>
      <c r="C18" s="17"/>
      <c r="D18" s="17"/>
      <c r="E18" s="17"/>
      <c r="F18" s="17"/>
      <c r="G18" s="17"/>
      <c r="H18" s="17"/>
      <c r="I18" s="17"/>
      <c r="J18" s="17"/>
      <c r="K18" s="17"/>
      <c r="L18" s="17"/>
      <c r="M18" s="17"/>
      <c r="N18" s="17"/>
      <c r="O18" s="17"/>
      <c r="P18" s="17"/>
      <c r="Q18" s="17"/>
      <c r="R18" s="17"/>
      <c r="S18" s="17"/>
      <c r="T18" s="17"/>
    </row>
    <row r="19">
      <c r="A19" s="17"/>
      <c r="B19" s="17"/>
      <c r="C19" s="17"/>
      <c r="D19" s="17"/>
      <c r="E19" s="17"/>
      <c r="F19" s="17"/>
      <c r="G19" s="17"/>
      <c r="H19" s="17"/>
      <c r="I19" s="17"/>
      <c r="J19" s="17"/>
      <c r="K19" s="17"/>
      <c r="L19" s="17"/>
      <c r="M19" s="17"/>
      <c r="N19" s="17"/>
      <c r="O19" s="17"/>
      <c r="P19" s="17"/>
      <c r="Q19" s="17"/>
      <c r="R19" s="17"/>
      <c r="S19" s="17"/>
      <c r="T19" s="17"/>
    </row>
    <row r="20">
      <c r="A20" s="17"/>
      <c r="B20" s="17"/>
      <c r="C20" s="17"/>
      <c r="D20" s="17"/>
      <c r="E20" s="17"/>
      <c r="F20" s="17"/>
      <c r="G20" s="17"/>
      <c r="H20" s="17"/>
      <c r="I20" s="17"/>
      <c r="J20" s="17"/>
      <c r="K20" s="17"/>
      <c r="L20" s="17"/>
      <c r="M20" s="17"/>
      <c r="N20" s="17"/>
      <c r="O20" s="17"/>
      <c r="P20" s="17"/>
      <c r="Q20" s="17"/>
      <c r="R20" s="17"/>
      <c r="S20" s="17"/>
      <c r="T20" s="17"/>
    </row>
    <row r="21">
      <c r="A21" s="17"/>
      <c r="B21" s="17"/>
      <c r="C21" s="17"/>
      <c r="D21" s="17"/>
      <c r="E21" s="17"/>
      <c r="F21" s="17"/>
      <c r="G21" s="17"/>
      <c r="H21" s="17"/>
      <c r="I21" s="17"/>
      <c r="J21" s="17"/>
      <c r="K21" s="17"/>
      <c r="L21" s="17"/>
      <c r="M21" s="17"/>
      <c r="N21" s="17"/>
      <c r="O21" s="17"/>
      <c r="P21" s="17"/>
      <c r="Q21" s="17"/>
      <c r="R21" s="17"/>
      <c r="S21" s="17"/>
      <c r="T21" s="17"/>
    </row>
    <row r="22">
      <c r="A22" s="17"/>
      <c r="B22" s="17"/>
      <c r="C22" s="17"/>
      <c r="D22" s="17"/>
      <c r="E22" s="17"/>
      <c r="F22" s="17"/>
      <c r="G22" s="17"/>
      <c r="H22" s="17"/>
      <c r="I22" s="17"/>
      <c r="J22" s="17"/>
      <c r="K22" s="17"/>
      <c r="L22" s="17"/>
      <c r="M22" s="17"/>
      <c r="N22" s="17"/>
      <c r="O22" s="17"/>
      <c r="P22" s="17"/>
      <c r="Q22" s="17"/>
      <c r="R22" s="17"/>
      <c r="S22" s="17"/>
      <c r="T22" s="17"/>
    </row>
    <row r="23">
      <c r="A23" s="17"/>
      <c r="B23" s="17"/>
      <c r="C23" s="17"/>
      <c r="D23" s="17"/>
      <c r="E23" s="17"/>
      <c r="F23" s="17"/>
      <c r="G23" s="17"/>
      <c r="H23" s="17"/>
      <c r="I23" s="17"/>
      <c r="J23" s="17"/>
      <c r="K23" s="17"/>
      <c r="L23" s="17"/>
      <c r="M23" s="17"/>
      <c r="N23" s="17"/>
      <c r="O23" s="17"/>
      <c r="P23" s="17"/>
      <c r="Q23" s="17"/>
      <c r="R23" s="17"/>
      <c r="S23" s="17"/>
      <c r="T23" s="17"/>
    </row>
    <row r="24">
      <c r="A24" s="17"/>
      <c r="B24" s="17"/>
      <c r="C24" s="17"/>
      <c r="D24" s="17"/>
      <c r="E24" s="17"/>
      <c r="F24" s="17"/>
      <c r="G24" s="17"/>
      <c r="H24" s="17"/>
      <c r="I24" s="17"/>
      <c r="J24" s="17"/>
      <c r="K24" s="17"/>
      <c r="L24" s="17"/>
      <c r="M24" s="17"/>
      <c r="N24" s="17"/>
      <c r="O24" s="17"/>
      <c r="P24" s="17"/>
      <c r="Q24" s="17"/>
      <c r="R24" s="17"/>
      <c r="S24" s="17"/>
      <c r="T24" s="17"/>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63"/>
    <col customWidth="1" min="5" max="5" width="23.88"/>
    <col customWidth="1" min="6" max="6" width="27.88"/>
    <col customWidth="1" min="8" max="8" width="28.63"/>
    <col customWidth="1" min="9" max="9" width="17.88"/>
  </cols>
  <sheetData>
    <row r="1">
      <c r="A1" s="21"/>
      <c r="B1" s="21" t="s">
        <v>555</v>
      </c>
      <c r="F1" s="17"/>
      <c r="G1" s="17"/>
      <c r="H1" s="17"/>
      <c r="I1" s="17"/>
    </row>
    <row r="2">
      <c r="A2" s="22"/>
      <c r="B2" s="23" t="s">
        <v>556</v>
      </c>
      <c r="C2" s="23" t="s">
        <v>557</v>
      </c>
      <c r="D2" s="23" t="s">
        <v>558</v>
      </c>
      <c r="E2" s="23" t="s">
        <v>559</v>
      </c>
      <c r="F2" s="23" t="s">
        <v>560</v>
      </c>
      <c r="G2" s="23" t="s">
        <v>561</v>
      </c>
      <c r="H2" s="23" t="s">
        <v>562</v>
      </c>
      <c r="I2" s="23" t="s">
        <v>563</v>
      </c>
    </row>
    <row r="3">
      <c r="A3" s="22"/>
      <c r="B3" s="24" t="s">
        <v>564</v>
      </c>
    </row>
    <row r="4">
      <c r="A4" s="22"/>
      <c r="B4" s="22">
        <v>45920.0</v>
      </c>
      <c r="C4" s="16" t="s">
        <v>565</v>
      </c>
      <c r="D4" s="16" t="s">
        <v>566</v>
      </c>
      <c r="E4" s="16" t="s">
        <v>567</v>
      </c>
      <c r="F4" s="16" t="s">
        <v>568</v>
      </c>
      <c r="G4" s="16" t="s">
        <v>569</v>
      </c>
      <c r="H4" s="25">
        <v>431.0</v>
      </c>
      <c r="I4" s="26">
        <f>Sum(H4*0.11)</f>
        <v>47.41</v>
      </c>
      <c r="J4" s="27" t="s">
        <v>570</v>
      </c>
    </row>
    <row r="5">
      <c r="A5" s="22"/>
      <c r="B5" s="22">
        <v>45920.0</v>
      </c>
      <c r="C5" s="16" t="s">
        <v>571</v>
      </c>
      <c r="D5" s="16" t="s">
        <v>572</v>
      </c>
      <c r="E5" s="16" t="s">
        <v>573</v>
      </c>
      <c r="F5" s="16" t="s">
        <v>574</v>
      </c>
      <c r="G5" s="28" t="s">
        <v>575</v>
      </c>
      <c r="H5" s="26">
        <v>40.0</v>
      </c>
      <c r="I5" s="26">
        <f>H5</f>
        <v>40</v>
      </c>
    </row>
    <row r="6">
      <c r="A6" s="22"/>
      <c r="B6" s="22">
        <v>45920.0</v>
      </c>
      <c r="C6" s="16" t="s">
        <v>576</v>
      </c>
      <c r="D6" s="16" t="s">
        <v>577</v>
      </c>
      <c r="E6" s="16"/>
      <c r="F6" s="16" t="s">
        <v>578</v>
      </c>
      <c r="G6" s="16" t="s">
        <v>579</v>
      </c>
      <c r="H6" s="29">
        <v>96.0</v>
      </c>
      <c r="I6" s="26">
        <f>Sum(H6*0.16)</f>
        <v>15.36</v>
      </c>
      <c r="J6" s="27" t="s">
        <v>580</v>
      </c>
    </row>
    <row r="7">
      <c r="A7" s="22"/>
      <c r="B7" s="22">
        <v>45921.0</v>
      </c>
      <c r="C7" s="16" t="s">
        <v>581</v>
      </c>
      <c r="D7" s="16" t="s">
        <v>566</v>
      </c>
      <c r="E7" s="16" t="s">
        <v>582</v>
      </c>
      <c r="F7" s="16" t="s">
        <v>583</v>
      </c>
      <c r="G7" s="16" t="s">
        <v>569</v>
      </c>
      <c r="H7" s="25">
        <v>431.0</v>
      </c>
      <c r="I7" s="26">
        <f>Sum(H7*0.11)</f>
        <v>47.41</v>
      </c>
      <c r="J7" s="27" t="s">
        <v>570</v>
      </c>
    </row>
    <row r="8">
      <c r="A8" s="22"/>
      <c r="B8" s="22">
        <v>45921.0</v>
      </c>
      <c r="C8" s="16" t="s">
        <v>571</v>
      </c>
      <c r="D8" s="16" t="s">
        <v>572</v>
      </c>
      <c r="E8" s="16" t="s">
        <v>584</v>
      </c>
      <c r="F8" s="16" t="s">
        <v>574</v>
      </c>
      <c r="G8" s="28" t="s">
        <v>575</v>
      </c>
      <c r="H8" s="26">
        <v>40.0</v>
      </c>
      <c r="I8" s="26">
        <f>H8</f>
        <v>40</v>
      </c>
    </row>
    <row r="9">
      <c r="A9" s="16"/>
      <c r="B9" s="16" t="s">
        <v>585</v>
      </c>
      <c r="C9" s="16" t="s">
        <v>586</v>
      </c>
      <c r="D9" s="16" t="s">
        <v>587</v>
      </c>
      <c r="E9" s="16"/>
      <c r="F9" s="16" t="s">
        <v>588</v>
      </c>
      <c r="G9" s="16" t="s">
        <v>585</v>
      </c>
      <c r="H9" s="29">
        <v>431.0</v>
      </c>
      <c r="I9" s="26">
        <f>Sum(H9*0.16)</f>
        <v>68.96</v>
      </c>
      <c r="J9" s="27" t="s">
        <v>580</v>
      </c>
    </row>
    <row r="10">
      <c r="A10" s="16"/>
      <c r="B10" s="16"/>
      <c r="C10" s="17"/>
      <c r="D10" s="17"/>
      <c r="E10" s="17"/>
      <c r="F10" s="17"/>
      <c r="G10" s="17"/>
      <c r="H10" s="30" t="s">
        <v>589</v>
      </c>
      <c r="I10" s="31">
        <f>Sum(I4:I9)</f>
        <v>259.14</v>
      </c>
    </row>
    <row r="11">
      <c r="A11" s="24"/>
      <c r="B11" s="24" t="s">
        <v>590</v>
      </c>
    </row>
    <row r="12">
      <c r="A12" s="17"/>
      <c r="B12" s="18" t="s">
        <v>591</v>
      </c>
      <c r="C12" s="16" t="s">
        <v>565</v>
      </c>
      <c r="D12" s="16" t="s">
        <v>592</v>
      </c>
      <c r="E12" s="32" t="s">
        <v>593</v>
      </c>
      <c r="F12" s="32" t="s">
        <v>594</v>
      </c>
      <c r="G12" s="32" t="s">
        <v>585</v>
      </c>
      <c r="H12" s="25">
        <v>670.0</v>
      </c>
      <c r="I12" s="26">
        <f t="shared" ref="I12:I14" si="1">Sum(H12*0.11)</f>
        <v>73.7</v>
      </c>
      <c r="J12" s="27" t="s">
        <v>570</v>
      </c>
    </row>
    <row r="13">
      <c r="A13" s="17"/>
      <c r="B13" s="33">
        <v>45926.0</v>
      </c>
      <c r="C13" s="16" t="s">
        <v>565</v>
      </c>
      <c r="D13" s="27" t="s">
        <v>595</v>
      </c>
      <c r="E13" s="16" t="s">
        <v>596</v>
      </c>
      <c r="F13" s="16" t="s">
        <v>597</v>
      </c>
      <c r="G13" s="16" t="s">
        <v>585</v>
      </c>
      <c r="H13" s="25">
        <v>911.0</v>
      </c>
      <c r="I13" s="26">
        <f t="shared" si="1"/>
        <v>100.21</v>
      </c>
      <c r="J13" s="27" t="s">
        <v>570</v>
      </c>
    </row>
    <row r="14">
      <c r="A14" s="17"/>
      <c r="B14" s="33">
        <v>45926.0</v>
      </c>
      <c r="C14" s="16" t="s">
        <v>565</v>
      </c>
      <c r="D14" s="27" t="s">
        <v>595</v>
      </c>
      <c r="E14" s="16" t="s">
        <v>598</v>
      </c>
      <c r="F14" s="16" t="s">
        <v>599</v>
      </c>
      <c r="G14" s="16" t="s">
        <v>585</v>
      </c>
      <c r="H14" s="25">
        <v>674.0</v>
      </c>
      <c r="I14" s="26">
        <f t="shared" si="1"/>
        <v>74.14</v>
      </c>
      <c r="J14" s="27" t="s">
        <v>570</v>
      </c>
    </row>
    <row r="15">
      <c r="A15" s="17"/>
      <c r="B15" s="33">
        <v>45926.0</v>
      </c>
      <c r="C15" s="16" t="s">
        <v>571</v>
      </c>
      <c r="D15" s="27" t="s">
        <v>572</v>
      </c>
      <c r="E15" s="32" t="s">
        <v>573</v>
      </c>
      <c r="F15" s="32" t="s">
        <v>600</v>
      </c>
      <c r="G15" s="28" t="s">
        <v>575</v>
      </c>
      <c r="H15" s="34">
        <v>85.0</v>
      </c>
      <c r="I15" s="35">
        <f t="shared" ref="I15:I17" si="2">Sum(H15*1.34)</f>
        <v>113.9</v>
      </c>
      <c r="J15" s="27" t="s">
        <v>601</v>
      </c>
    </row>
    <row r="16">
      <c r="A16" s="17"/>
      <c r="B16" s="22">
        <v>45927.0</v>
      </c>
      <c r="C16" s="16" t="s">
        <v>571</v>
      </c>
      <c r="D16" s="16" t="s">
        <v>572</v>
      </c>
      <c r="E16" s="16" t="s">
        <v>584</v>
      </c>
      <c r="F16" s="16" t="s">
        <v>600</v>
      </c>
      <c r="G16" s="28" t="s">
        <v>575</v>
      </c>
      <c r="H16" s="34">
        <v>85.0</v>
      </c>
      <c r="I16" s="35">
        <f t="shared" si="2"/>
        <v>113.9</v>
      </c>
      <c r="J16" s="27" t="s">
        <v>601</v>
      </c>
    </row>
    <row r="17">
      <c r="A17" s="17"/>
      <c r="B17" s="22">
        <v>45928.0</v>
      </c>
      <c r="C17" s="16" t="s">
        <v>581</v>
      </c>
      <c r="D17" s="27" t="s">
        <v>602</v>
      </c>
      <c r="E17" s="16" t="s">
        <v>603</v>
      </c>
      <c r="F17" s="16" t="s">
        <v>604</v>
      </c>
      <c r="G17" s="32" t="s">
        <v>575</v>
      </c>
      <c r="H17" s="34">
        <v>35.0</v>
      </c>
      <c r="I17" s="35">
        <f t="shared" si="2"/>
        <v>46.9</v>
      </c>
      <c r="J17" s="27" t="s">
        <v>601</v>
      </c>
    </row>
    <row r="18">
      <c r="A18" s="16"/>
      <c r="B18" s="16" t="s">
        <v>585</v>
      </c>
      <c r="C18" s="16" t="s">
        <v>586</v>
      </c>
      <c r="D18" s="16" t="s">
        <v>587</v>
      </c>
      <c r="E18" s="16" t="s">
        <v>585</v>
      </c>
      <c r="F18" s="16" t="s">
        <v>605</v>
      </c>
      <c r="G18" s="32" t="s">
        <v>585</v>
      </c>
      <c r="H18" s="32" t="s">
        <v>606</v>
      </c>
      <c r="I18" s="32" t="s">
        <v>607</v>
      </c>
      <c r="J18" s="27" t="s">
        <v>601</v>
      </c>
      <c r="K18" s="27" t="s">
        <v>608</v>
      </c>
    </row>
    <row r="19">
      <c r="A19" s="17"/>
      <c r="B19" s="18" t="s">
        <v>585</v>
      </c>
      <c r="C19" s="16" t="s">
        <v>576</v>
      </c>
      <c r="D19" s="16" t="s">
        <v>609</v>
      </c>
      <c r="E19" s="16" t="s">
        <v>585</v>
      </c>
      <c r="F19" s="16" t="s">
        <v>610</v>
      </c>
      <c r="G19" s="16" t="s">
        <v>611</v>
      </c>
      <c r="H19" s="18" t="s">
        <v>606</v>
      </c>
      <c r="I19" s="18" t="s">
        <v>607</v>
      </c>
      <c r="J19" s="27" t="s">
        <v>601</v>
      </c>
      <c r="K19" s="27" t="s">
        <v>608</v>
      </c>
    </row>
    <row r="20">
      <c r="A20" s="17"/>
      <c r="B20" s="17"/>
      <c r="C20" s="17"/>
      <c r="D20" s="17"/>
      <c r="E20" s="17"/>
      <c r="F20" s="17"/>
      <c r="G20" s="17"/>
      <c r="H20" s="30"/>
      <c r="I20" s="36"/>
    </row>
    <row r="21">
      <c r="A21" s="17"/>
      <c r="B21" s="17"/>
      <c r="C21" s="17"/>
      <c r="D21" s="17"/>
      <c r="E21" s="17"/>
      <c r="F21" s="17"/>
      <c r="G21" s="17"/>
      <c r="H21" s="30" t="s">
        <v>589</v>
      </c>
      <c r="I21" s="31">
        <f>Sum(I12:I19)</f>
        <v>522.75</v>
      </c>
    </row>
    <row r="22">
      <c r="A22" s="24"/>
      <c r="B22" s="24" t="s">
        <v>612</v>
      </c>
    </row>
    <row r="23">
      <c r="B23" s="37">
        <v>45928.0</v>
      </c>
      <c r="C23" s="27" t="s">
        <v>613</v>
      </c>
      <c r="D23" s="27" t="s">
        <v>566</v>
      </c>
      <c r="E23" s="27" t="s">
        <v>614</v>
      </c>
      <c r="F23" s="27" t="s">
        <v>604</v>
      </c>
      <c r="G23" s="27" t="s">
        <v>561</v>
      </c>
      <c r="H23" s="27" t="s">
        <v>615</v>
      </c>
      <c r="I23" s="38">
        <v>47.28</v>
      </c>
    </row>
    <row r="24">
      <c r="B24" s="37">
        <v>45928.0</v>
      </c>
      <c r="C24" s="27" t="s">
        <v>571</v>
      </c>
      <c r="D24" s="16" t="s">
        <v>572</v>
      </c>
      <c r="E24" s="27" t="s">
        <v>616</v>
      </c>
      <c r="F24" s="27" t="s">
        <v>617</v>
      </c>
      <c r="G24" s="27" t="s">
        <v>618</v>
      </c>
      <c r="H24" s="39">
        <v>140.0</v>
      </c>
      <c r="I24" s="38">
        <v>163.8</v>
      </c>
    </row>
    <row r="25">
      <c r="B25" s="37">
        <v>45929.0</v>
      </c>
      <c r="C25" s="27" t="s">
        <v>571</v>
      </c>
      <c r="D25" s="16" t="s">
        <v>572</v>
      </c>
      <c r="E25" s="27" t="s">
        <v>619</v>
      </c>
      <c r="F25" s="27" t="s">
        <v>617</v>
      </c>
      <c r="G25" s="40" t="s">
        <v>575</v>
      </c>
      <c r="H25" s="41">
        <v>70.0</v>
      </c>
      <c r="I25" s="38">
        <f>H25*1.17</f>
        <v>81.9</v>
      </c>
      <c r="J25" s="27" t="s">
        <v>620</v>
      </c>
    </row>
    <row r="26">
      <c r="B26" s="37">
        <v>45929.0</v>
      </c>
      <c r="C26" s="27" t="s">
        <v>587</v>
      </c>
      <c r="D26" s="27" t="s">
        <v>621</v>
      </c>
      <c r="E26" s="27" t="s">
        <v>585</v>
      </c>
      <c r="F26" s="27" t="s">
        <v>622</v>
      </c>
      <c r="G26" s="27" t="s">
        <v>623</v>
      </c>
      <c r="H26" s="39">
        <v>70.0</v>
      </c>
      <c r="I26" s="38">
        <v>81.9</v>
      </c>
      <c r="J26" s="27" t="s">
        <v>620</v>
      </c>
      <c r="K26" s="27" t="s">
        <v>608</v>
      </c>
    </row>
    <row r="27">
      <c r="B27" s="37">
        <v>45929.0</v>
      </c>
      <c r="C27" s="27" t="s">
        <v>624</v>
      </c>
      <c r="D27" s="27" t="s">
        <v>625</v>
      </c>
      <c r="E27" s="27" t="s">
        <v>585</v>
      </c>
      <c r="F27" s="27" t="s">
        <v>626</v>
      </c>
      <c r="G27" s="27" t="s">
        <v>561</v>
      </c>
      <c r="H27" s="39">
        <v>20.0</v>
      </c>
      <c r="I27" s="38">
        <v>23.4</v>
      </c>
      <c r="J27" s="27" t="s">
        <v>620</v>
      </c>
      <c r="K27" s="27" t="s">
        <v>608</v>
      </c>
    </row>
    <row r="29">
      <c r="A29" s="24"/>
      <c r="B29" s="42" t="s">
        <v>627</v>
      </c>
      <c r="C29" s="24"/>
      <c r="D29" s="24"/>
      <c r="E29" s="24"/>
      <c r="F29" s="24"/>
      <c r="G29" s="24"/>
      <c r="H29" s="24"/>
      <c r="I29" s="24"/>
    </row>
    <row r="30">
      <c r="B30" s="9">
        <v>45930.0</v>
      </c>
      <c r="C30" s="3" t="s">
        <v>628</v>
      </c>
      <c r="D30" s="3" t="s">
        <v>566</v>
      </c>
      <c r="E30" s="3" t="s">
        <v>629</v>
      </c>
      <c r="F30" s="3" t="s">
        <v>630</v>
      </c>
      <c r="G30" s="3" t="s">
        <v>631</v>
      </c>
      <c r="H30" s="43">
        <v>35.0</v>
      </c>
      <c r="I30" s="3" t="s">
        <v>632</v>
      </c>
      <c r="J30" s="3" t="s">
        <v>620</v>
      </c>
      <c r="K30" s="3" t="s">
        <v>608</v>
      </c>
    </row>
    <row r="31">
      <c r="B31" s="9">
        <v>45930.0</v>
      </c>
      <c r="C31" s="16" t="s">
        <v>571</v>
      </c>
      <c r="D31" s="27" t="s">
        <v>572</v>
      </c>
      <c r="E31" s="32" t="s">
        <v>633</v>
      </c>
      <c r="G31" s="27" t="s">
        <v>618</v>
      </c>
    </row>
    <row r="33">
      <c r="A33" s="44"/>
      <c r="B33" s="44"/>
    </row>
    <row r="34">
      <c r="A34" s="24"/>
      <c r="B34" s="45" t="s">
        <v>634</v>
      </c>
      <c r="C34" s="46"/>
      <c r="D34" s="46"/>
      <c r="E34" s="46"/>
      <c r="F34" s="46"/>
      <c r="G34" s="46"/>
      <c r="H34" s="46"/>
      <c r="I34" s="46"/>
    </row>
    <row r="35">
      <c r="A35" s="44"/>
      <c r="B35" s="44"/>
      <c r="C35" s="44"/>
      <c r="D35" s="44"/>
      <c r="E35" s="44"/>
      <c r="F35" s="44"/>
      <c r="G35" s="44"/>
      <c r="H35" s="44"/>
      <c r="I35" s="44"/>
      <c r="J35" s="44"/>
    </row>
    <row r="36">
      <c r="A36" s="47"/>
      <c r="B36" s="47"/>
      <c r="C36" s="44"/>
      <c r="D36" s="44"/>
      <c r="E36" s="44"/>
      <c r="F36" s="44"/>
      <c r="G36" s="44"/>
      <c r="H36" s="44"/>
      <c r="I36" s="44"/>
      <c r="J36" s="44"/>
    </row>
    <row r="37">
      <c r="A37" s="47"/>
      <c r="B37" s="47"/>
      <c r="C37" s="44"/>
      <c r="D37" s="44"/>
      <c r="E37" s="44"/>
      <c r="F37" s="44"/>
      <c r="G37" s="44"/>
      <c r="H37" s="44"/>
      <c r="I37" s="44"/>
      <c r="J37" s="44"/>
    </row>
    <row r="38">
      <c r="A38" s="47"/>
      <c r="B38" s="47"/>
      <c r="C38" s="44"/>
      <c r="D38" s="44"/>
      <c r="E38" s="44"/>
      <c r="F38" s="44"/>
      <c r="G38" s="44"/>
      <c r="H38" s="44"/>
      <c r="I38" s="44"/>
      <c r="J38" s="44"/>
    </row>
    <row r="39">
      <c r="A39" s="47"/>
      <c r="B39" s="47"/>
      <c r="C39" s="44"/>
      <c r="D39" s="44"/>
      <c r="E39" s="44"/>
      <c r="F39" s="44"/>
      <c r="G39" s="44"/>
      <c r="H39" s="44"/>
      <c r="I39" s="44"/>
      <c r="J39" s="44"/>
    </row>
    <row r="40">
      <c r="A40" s="47"/>
      <c r="B40" s="47"/>
      <c r="C40" s="44"/>
      <c r="D40" s="44"/>
      <c r="E40" s="44"/>
      <c r="F40" s="44"/>
      <c r="G40" s="44"/>
      <c r="H40" s="44"/>
      <c r="I40" s="44"/>
      <c r="J40" s="44"/>
    </row>
    <row r="41">
      <c r="A41" s="47"/>
      <c r="B41" s="47"/>
      <c r="C41" s="44"/>
      <c r="D41" s="44"/>
      <c r="E41" s="44"/>
      <c r="F41" s="44"/>
      <c r="G41" s="44"/>
      <c r="H41" s="44"/>
      <c r="I41" s="44"/>
      <c r="J41" s="44"/>
    </row>
    <row r="42">
      <c r="A42" s="44"/>
      <c r="B42" s="44"/>
      <c r="C42" s="44"/>
      <c r="D42" s="44"/>
      <c r="E42" s="44"/>
      <c r="F42" s="44"/>
      <c r="G42" s="44"/>
      <c r="H42" s="44"/>
      <c r="I42" s="44"/>
      <c r="J42" s="44"/>
    </row>
    <row r="43">
      <c r="A43" s="44"/>
      <c r="B43" s="44"/>
      <c r="C43" s="44"/>
      <c r="D43" s="44"/>
      <c r="E43" s="44"/>
      <c r="F43" s="44"/>
      <c r="G43" s="44"/>
      <c r="H43" s="44"/>
      <c r="I43" s="44"/>
      <c r="J43" s="44"/>
    </row>
    <row r="44">
      <c r="A44" s="44"/>
      <c r="B44" s="44"/>
      <c r="C44" s="44"/>
      <c r="D44" s="44"/>
      <c r="E44" s="44"/>
      <c r="F44" s="44"/>
      <c r="G44" s="44"/>
      <c r="H44" s="44"/>
      <c r="I44" s="44"/>
      <c r="J44" s="44"/>
    </row>
    <row r="45">
      <c r="A45" s="44"/>
      <c r="B45" s="44"/>
      <c r="C45" s="44"/>
      <c r="D45" s="44"/>
      <c r="E45" s="44"/>
      <c r="F45" s="44"/>
      <c r="G45" s="44"/>
      <c r="H45" s="44"/>
      <c r="I45" s="44"/>
      <c r="J45" s="44"/>
    </row>
    <row r="46">
      <c r="A46" s="44"/>
      <c r="B46" s="44"/>
      <c r="C46" s="48"/>
      <c r="D46" s="48"/>
      <c r="E46" s="48"/>
      <c r="F46" s="48"/>
      <c r="G46" s="48"/>
      <c r="H46" s="48"/>
      <c r="I46" s="48"/>
      <c r="J46" s="44"/>
    </row>
  </sheetData>
  <mergeCells count="4">
    <mergeCell ref="B1:E1"/>
    <mergeCell ref="B3:I3"/>
    <mergeCell ref="B11:I11"/>
    <mergeCell ref="B22:I22"/>
  </mergeCells>
  <hyperlinks>
    <hyperlink r:id="rId1" ref="G5"/>
    <hyperlink r:id="rId2" ref="G8"/>
    <hyperlink r:id="rId3" ref="G15"/>
    <hyperlink r:id="rId4" ref="G16"/>
    <hyperlink r:id="rId5" ref="G25"/>
  </hyperlinks>
  <printOptions gridLines="1" horizontalCentered="1"/>
  <pageMargins bottom="0.75" footer="0.0" header="0.0" left="0.7" right="0.7" top="0.75"/>
  <pageSetup fitToHeight="0" cellComments="atEnd" orientation="landscape" pageOrder="overThenDown"/>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7.75"/>
    <col customWidth="1" min="9" max="9" width="41.63"/>
  </cols>
  <sheetData>
    <row r="1">
      <c r="A1" s="18" t="s">
        <v>635</v>
      </c>
      <c r="B1" s="18" t="s">
        <v>636</v>
      </c>
      <c r="C1" s="18" t="s">
        <v>637</v>
      </c>
      <c r="D1" s="18" t="s">
        <v>638</v>
      </c>
      <c r="E1" s="18" t="s">
        <v>639</v>
      </c>
      <c r="F1" s="18" t="s">
        <v>640</v>
      </c>
      <c r="G1" s="18" t="s">
        <v>641</v>
      </c>
      <c r="H1" s="18" t="s">
        <v>642</v>
      </c>
      <c r="I1" s="18" t="s">
        <v>643</v>
      </c>
      <c r="J1" s="18" t="s">
        <v>644</v>
      </c>
      <c r="K1" s="18" t="s">
        <v>645</v>
      </c>
      <c r="L1" s="17"/>
    </row>
    <row r="2">
      <c r="A2" s="16" t="s">
        <v>646</v>
      </c>
      <c r="B2" s="16" t="s">
        <v>647</v>
      </c>
      <c r="C2" s="16" t="s">
        <v>648</v>
      </c>
      <c r="D2" s="16" t="s">
        <v>649</v>
      </c>
      <c r="E2" s="16" t="s">
        <v>650</v>
      </c>
      <c r="F2" s="16" t="s">
        <v>651</v>
      </c>
      <c r="G2" s="16" t="s">
        <v>652</v>
      </c>
      <c r="H2" s="16" t="s">
        <v>653</v>
      </c>
      <c r="I2" s="16" t="s">
        <v>654</v>
      </c>
      <c r="J2" s="16" t="s">
        <v>655</v>
      </c>
      <c r="K2" s="49">
        <v>45904.0</v>
      </c>
      <c r="L2" s="17"/>
    </row>
    <row r="3">
      <c r="A3" s="16" t="s">
        <v>646</v>
      </c>
      <c r="B3" s="16" t="s">
        <v>656</v>
      </c>
      <c r="C3" s="16" t="s">
        <v>657</v>
      </c>
      <c r="D3" s="16" t="s">
        <v>658</v>
      </c>
      <c r="E3" s="16" t="s">
        <v>659</v>
      </c>
      <c r="F3" s="16" t="s">
        <v>660</v>
      </c>
      <c r="G3" s="20" t="str">
        <f>"+39 040 3739 249"</f>
        <v>+39 040 3739 249</v>
      </c>
      <c r="H3" s="16" t="s">
        <v>661</v>
      </c>
      <c r="I3" s="16" t="s">
        <v>662</v>
      </c>
      <c r="J3" s="16" t="s">
        <v>663</v>
      </c>
      <c r="K3" s="19">
        <v>45910.0</v>
      </c>
      <c r="L3" s="17"/>
    </row>
    <row r="4">
      <c r="A4" s="16" t="s">
        <v>646</v>
      </c>
      <c r="B4" s="16" t="s">
        <v>664</v>
      </c>
      <c r="C4" s="16" t="s">
        <v>665</v>
      </c>
      <c r="D4" s="16" t="s">
        <v>666</v>
      </c>
      <c r="E4" s="16" t="s">
        <v>667</v>
      </c>
      <c r="F4" s="16" t="s">
        <v>668</v>
      </c>
      <c r="G4" s="20" t="str">
        <f>"+49 (0)761 708 396 31 and +49 15563 984518"</f>
        <v>+49 (0)761 708 396 31 and +49 15563 984518</v>
      </c>
      <c r="H4" s="16" t="s">
        <v>669</v>
      </c>
      <c r="I4" s="19">
        <v>45908.0</v>
      </c>
      <c r="J4" s="16" t="s">
        <v>670</v>
      </c>
      <c r="K4" s="19">
        <v>45908.0</v>
      </c>
      <c r="L4" s="17"/>
    </row>
    <row r="5">
      <c r="A5" s="16" t="s">
        <v>646</v>
      </c>
      <c r="B5" s="16" t="s">
        <v>671</v>
      </c>
      <c r="C5" s="16" t="s">
        <v>672</v>
      </c>
      <c r="D5" s="16" t="s">
        <v>673</v>
      </c>
      <c r="E5" s="16" t="s">
        <v>674</v>
      </c>
      <c r="F5" s="16" t="s">
        <v>675</v>
      </c>
      <c r="G5" s="16" t="s">
        <v>676</v>
      </c>
      <c r="H5" s="16" t="s">
        <v>677</v>
      </c>
      <c r="I5" s="16" t="s">
        <v>678</v>
      </c>
      <c r="J5" s="16" t="s">
        <v>679</v>
      </c>
      <c r="K5" s="19">
        <v>45755.0</v>
      </c>
      <c r="L5" s="17"/>
    </row>
    <row r="6">
      <c r="A6" s="16" t="s">
        <v>646</v>
      </c>
      <c r="B6" s="16" t="s">
        <v>680</v>
      </c>
      <c r="C6" s="16" t="s">
        <v>681</v>
      </c>
      <c r="D6" s="16" t="s">
        <v>682</v>
      </c>
      <c r="E6" s="16" t="s">
        <v>683</v>
      </c>
      <c r="F6" s="16" t="s">
        <v>684</v>
      </c>
      <c r="G6" s="16" t="s">
        <v>685</v>
      </c>
      <c r="H6" s="16" t="s">
        <v>686</v>
      </c>
      <c r="I6" s="16" t="s">
        <v>687</v>
      </c>
      <c r="J6" s="16" t="s">
        <v>688</v>
      </c>
      <c r="K6" s="49">
        <v>45763.0</v>
      </c>
      <c r="L6" s="17"/>
    </row>
    <row r="7">
      <c r="A7" s="16" t="s">
        <v>689</v>
      </c>
      <c r="B7" s="16" t="s">
        <v>690</v>
      </c>
      <c r="C7" s="16" t="s">
        <v>689</v>
      </c>
      <c r="D7" s="16" t="s">
        <v>691</v>
      </c>
      <c r="E7" s="16" t="s">
        <v>692</v>
      </c>
      <c r="F7" s="16" t="s">
        <v>693</v>
      </c>
      <c r="G7" s="17" t="str">
        <f>+46 36 10 38 10, +46 76 275 69 27</f>
        <v>#ERROR!</v>
      </c>
      <c r="H7" s="16" t="s">
        <v>694</v>
      </c>
      <c r="I7" s="49">
        <v>45675.0</v>
      </c>
      <c r="J7" s="16" t="s">
        <v>695</v>
      </c>
      <c r="K7" s="49">
        <v>45675.0</v>
      </c>
      <c r="L7" s="17"/>
    </row>
    <row r="8">
      <c r="A8" s="16" t="s">
        <v>696</v>
      </c>
      <c r="B8" s="16" t="s">
        <v>697</v>
      </c>
      <c r="C8" s="16" t="s">
        <v>698</v>
      </c>
      <c r="D8" s="16" t="s">
        <v>699</v>
      </c>
      <c r="E8" s="16" t="s">
        <v>700</v>
      </c>
      <c r="F8" s="16" t="s">
        <v>701</v>
      </c>
      <c r="G8" s="16" t="s">
        <v>651</v>
      </c>
      <c r="H8" s="16" t="s">
        <v>702</v>
      </c>
      <c r="I8" s="16" t="s">
        <v>703</v>
      </c>
      <c r="J8" s="16" t="s">
        <v>704</v>
      </c>
      <c r="K8" s="49">
        <v>45684.0</v>
      </c>
      <c r="L8" s="17"/>
    </row>
    <row r="9">
      <c r="A9" s="16" t="s">
        <v>705</v>
      </c>
      <c r="B9" s="16" t="s">
        <v>706</v>
      </c>
      <c r="C9" s="16" t="s">
        <v>705</v>
      </c>
      <c r="D9" s="16" t="s">
        <v>707</v>
      </c>
      <c r="E9" s="16" t="s">
        <v>708</v>
      </c>
      <c r="F9" s="16" t="s">
        <v>709</v>
      </c>
      <c r="G9" s="16" t="s">
        <v>710</v>
      </c>
      <c r="H9" s="16" t="s">
        <v>711</v>
      </c>
      <c r="I9" s="16" t="s">
        <v>712</v>
      </c>
      <c r="J9" s="16" t="s">
        <v>713</v>
      </c>
      <c r="K9" s="49">
        <v>45629.0</v>
      </c>
      <c r="L9" s="17"/>
    </row>
    <row r="10">
      <c r="A10" s="16" t="s">
        <v>714</v>
      </c>
      <c r="B10" s="16" t="s">
        <v>715</v>
      </c>
      <c r="C10" s="16" t="s">
        <v>714</v>
      </c>
      <c r="D10" s="16" t="s">
        <v>716</v>
      </c>
      <c r="E10" s="16" t="s">
        <v>717</v>
      </c>
      <c r="F10" s="16" t="s">
        <v>718</v>
      </c>
      <c r="G10" s="16" t="s">
        <v>719</v>
      </c>
      <c r="H10" s="16" t="s">
        <v>720</v>
      </c>
      <c r="I10" s="16" t="s">
        <v>721</v>
      </c>
      <c r="J10" s="16" t="s">
        <v>722</v>
      </c>
      <c r="K10" s="49">
        <v>45754.0</v>
      </c>
      <c r="L10" s="17"/>
    </row>
    <row r="11">
      <c r="A11" s="27" t="s">
        <v>723</v>
      </c>
      <c r="B11" s="27" t="s">
        <v>724</v>
      </c>
      <c r="C11" s="27" t="s">
        <v>723</v>
      </c>
      <c r="D11" s="27" t="s">
        <v>725</v>
      </c>
      <c r="E11" s="27" t="s">
        <v>726</v>
      </c>
      <c r="F11" s="27" t="s">
        <v>727</v>
      </c>
      <c r="G11" s="50">
        <f>+358-40-5717586</f>
        <v>-5717268</v>
      </c>
      <c r="H11" s="27" t="s">
        <v>720</v>
      </c>
      <c r="I11" s="27" t="s">
        <v>728</v>
      </c>
      <c r="J11" s="27" t="s">
        <v>729</v>
      </c>
      <c r="K11" s="51">
        <v>45748.0</v>
      </c>
      <c r="L11" s="17"/>
    </row>
    <row r="12">
      <c r="A12" s="17"/>
      <c r="B12" s="17"/>
      <c r="C12" s="17"/>
      <c r="D12" s="17"/>
      <c r="E12" s="17"/>
      <c r="F12" s="17"/>
      <c r="G12" s="17"/>
      <c r="H12" s="17"/>
      <c r="I12" s="17"/>
      <c r="J12" s="17"/>
      <c r="K12" s="17"/>
      <c r="L12" s="17"/>
    </row>
    <row r="13">
      <c r="A13" s="17"/>
      <c r="B13" s="17"/>
      <c r="C13" s="17"/>
      <c r="D13" s="17"/>
      <c r="E13" s="17"/>
      <c r="F13" s="17"/>
      <c r="G13" s="17"/>
      <c r="H13" s="17"/>
      <c r="I13" s="17"/>
      <c r="J13" s="17"/>
      <c r="K13" s="17"/>
      <c r="L13" s="17"/>
    </row>
    <row r="14">
      <c r="A14" s="17"/>
      <c r="B14" s="17"/>
      <c r="C14" s="17"/>
      <c r="D14" s="17"/>
      <c r="E14" s="17"/>
      <c r="F14" s="17"/>
      <c r="G14" s="17"/>
      <c r="H14" s="17"/>
      <c r="I14" s="17"/>
      <c r="J14" s="17"/>
      <c r="K14" s="17"/>
      <c r="L14" s="17"/>
    </row>
    <row r="15">
      <c r="A15" s="17"/>
      <c r="B15" s="17"/>
      <c r="C15" s="17"/>
      <c r="D15" s="17"/>
      <c r="E15" s="17"/>
      <c r="F15" s="17"/>
      <c r="G15" s="17"/>
      <c r="H15" s="17"/>
      <c r="I15" s="17"/>
      <c r="J15" s="17"/>
      <c r="K15" s="17"/>
      <c r="L15" s="17"/>
    </row>
    <row r="16">
      <c r="A16" s="17"/>
      <c r="B16" s="17"/>
      <c r="C16" s="17"/>
      <c r="D16" s="17"/>
      <c r="E16" s="17"/>
      <c r="F16" s="17"/>
      <c r="G16" s="17"/>
      <c r="H16" s="17"/>
      <c r="I16" s="17"/>
      <c r="J16" s="17"/>
      <c r="K16" s="17"/>
      <c r="L16" s="17"/>
    </row>
    <row r="17">
      <c r="A17" s="17"/>
      <c r="B17" s="17"/>
      <c r="C17" s="17"/>
      <c r="D17" s="17"/>
      <c r="E17" s="17"/>
      <c r="F17" s="17"/>
      <c r="G17" s="17"/>
      <c r="H17" s="17"/>
      <c r="I17" s="17"/>
      <c r="J17" s="17"/>
      <c r="K17" s="17"/>
      <c r="L17" s="17"/>
    </row>
    <row r="18">
      <c r="A18" s="17"/>
      <c r="B18" s="17"/>
      <c r="C18" s="17"/>
      <c r="D18" s="17"/>
      <c r="E18" s="17"/>
      <c r="F18" s="17"/>
      <c r="G18" s="17"/>
      <c r="H18" s="17"/>
      <c r="I18" s="17"/>
      <c r="J18" s="17"/>
      <c r="K18" s="17"/>
      <c r="L18" s="17"/>
    </row>
    <row r="19">
      <c r="A19" s="17"/>
      <c r="B19" s="17"/>
      <c r="C19" s="17"/>
      <c r="D19" s="17"/>
      <c r="E19" s="17"/>
      <c r="F19" s="17"/>
      <c r="G19" s="17"/>
      <c r="H19" s="17"/>
      <c r="I19" s="17"/>
      <c r="J19" s="17"/>
      <c r="K19" s="17"/>
      <c r="L19" s="17"/>
    </row>
    <row r="20">
      <c r="A20" s="17"/>
      <c r="B20" s="17"/>
      <c r="C20" s="17"/>
      <c r="D20" s="17"/>
      <c r="E20" s="17"/>
      <c r="F20" s="17"/>
      <c r="G20" s="17"/>
      <c r="H20" s="17"/>
      <c r="I20" s="17"/>
      <c r="J20" s="17"/>
      <c r="K20" s="17"/>
      <c r="L20" s="17"/>
    </row>
    <row r="45">
      <c r="A45" s="52"/>
    </row>
    <row r="67">
      <c r="A67" s="52"/>
    </row>
    <row r="89">
      <c r="A89" s="52"/>
    </row>
    <row r="111">
      <c r="A111" s="5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2" max="2" width="29.5"/>
    <col customWidth="1" min="3" max="3" width="26.13"/>
    <col customWidth="1" min="4" max="4" width="30.63"/>
  </cols>
  <sheetData>
    <row r="1">
      <c r="A1" s="4" t="s">
        <v>730</v>
      </c>
      <c r="B1" s="4" t="s">
        <v>731</v>
      </c>
      <c r="C1" s="4" t="s">
        <v>732</v>
      </c>
      <c r="D1" s="4" t="s">
        <v>733</v>
      </c>
      <c r="E1" s="3"/>
    </row>
    <row r="2">
      <c r="A2" s="4" t="s">
        <v>734</v>
      </c>
      <c r="B2" s="4" t="s">
        <v>735</v>
      </c>
      <c r="C2" s="4" t="s">
        <v>736</v>
      </c>
      <c r="D2" s="4" t="s">
        <v>737</v>
      </c>
      <c r="E2" s="3"/>
    </row>
    <row r="3">
      <c r="A3" s="4" t="s">
        <v>738</v>
      </c>
      <c r="B3" s="4" t="s">
        <v>739</v>
      </c>
      <c r="C3" s="4" t="s">
        <v>740</v>
      </c>
      <c r="D3" s="4" t="s">
        <v>741</v>
      </c>
      <c r="E3" s="3"/>
    </row>
    <row r="4">
      <c r="A4" s="4" t="s">
        <v>742</v>
      </c>
      <c r="B4" s="4" t="s">
        <v>743</v>
      </c>
      <c r="C4" s="4" t="s">
        <v>744</v>
      </c>
      <c r="D4" s="4" t="s">
        <v>745</v>
      </c>
      <c r="E4" s="3"/>
    </row>
    <row r="5">
      <c r="A5" s="4" t="s">
        <v>746</v>
      </c>
      <c r="B5" s="4" t="s">
        <v>747</v>
      </c>
      <c r="C5" s="4" t="s">
        <v>736</v>
      </c>
      <c r="D5" s="4" t="s">
        <v>748</v>
      </c>
      <c r="E5" s="3"/>
    </row>
    <row r="6">
      <c r="A6" s="4" t="s">
        <v>749</v>
      </c>
      <c r="B6" s="4" t="s">
        <v>747</v>
      </c>
      <c r="C6" s="4" t="s">
        <v>740</v>
      </c>
      <c r="D6" s="4" t="s">
        <v>750</v>
      </c>
      <c r="E6" s="3"/>
    </row>
    <row r="7">
      <c r="A7" s="3"/>
      <c r="B7" s="3"/>
      <c r="C7" s="3"/>
      <c r="D7" s="3"/>
      <c r="E7" s="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5</v>
      </c>
      <c r="B1" s="3" t="s">
        <v>751</v>
      </c>
      <c r="C1" s="3" t="s">
        <v>752</v>
      </c>
      <c r="D1" s="3" t="s">
        <v>753</v>
      </c>
      <c r="E1" s="3" t="s">
        <v>9</v>
      </c>
    </row>
    <row r="2">
      <c r="A2" s="3" t="s">
        <v>754</v>
      </c>
      <c r="B2" s="3" t="s">
        <v>126</v>
      </c>
      <c r="C2" s="3" t="s">
        <v>755</v>
      </c>
      <c r="D2" s="3" t="s">
        <v>756</v>
      </c>
      <c r="E2" s="53" t="s">
        <v>757</v>
      </c>
    </row>
    <row r="3">
      <c r="A3" s="3" t="s">
        <v>758</v>
      </c>
      <c r="B3" s="3" t="s">
        <v>126</v>
      </c>
      <c r="C3" s="3" t="s">
        <v>759</v>
      </c>
      <c r="D3" s="3" t="s">
        <v>760</v>
      </c>
      <c r="E3" s="53" t="s">
        <v>761</v>
      </c>
    </row>
    <row r="4">
      <c r="A4" s="3" t="s">
        <v>762</v>
      </c>
      <c r="B4" s="3" t="s">
        <v>763</v>
      </c>
      <c r="C4" s="3" t="s">
        <v>764</v>
      </c>
      <c r="D4" s="3" t="s">
        <v>765</v>
      </c>
      <c r="E4" s="53" t="s">
        <v>766</v>
      </c>
    </row>
    <row r="5">
      <c r="A5" s="3" t="s">
        <v>767</v>
      </c>
      <c r="B5" s="3" t="s">
        <v>768</v>
      </c>
      <c r="C5" s="3" t="s">
        <v>769</v>
      </c>
      <c r="D5" s="3" t="s">
        <v>765</v>
      </c>
      <c r="E5" s="53" t="s">
        <v>770</v>
      </c>
    </row>
    <row r="6">
      <c r="A6" s="3" t="s">
        <v>771</v>
      </c>
      <c r="B6" s="3" t="s">
        <v>772</v>
      </c>
      <c r="C6" s="3" t="s">
        <v>773</v>
      </c>
      <c r="D6" s="3" t="s">
        <v>760</v>
      </c>
      <c r="E6" s="53" t="s">
        <v>774</v>
      </c>
    </row>
    <row r="7">
      <c r="A7" s="3" t="s">
        <v>775</v>
      </c>
      <c r="B7" s="3" t="s">
        <v>28</v>
      </c>
      <c r="C7" s="3" t="s">
        <v>776</v>
      </c>
      <c r="D7" s="3" t="s">
        <v>777</v>
      </c>
      <c r="E7" s="53" t="s">
        <v>778</v>
      </c>
    </row>
    <row r="8">
      <c r="A8" s="3" t="s">
        <v>779</v>
      </c>
      <c r="B8" s="3" t="s">
        <v>28</v>
      </c>
      <c r="C8" s="3" t="s">
        <v>780</v>
      </c>
      <c r="D8" s="3" t="s">
        <v>760</v>
      </c>
      <c r="E8" s="53" t="s">
        <v>781</v>
      </c>
    </row>
    <row r="9">
      <c r="A9" s="3" t="s">
        <v>782</v>
      </c>
      <c r="B9" s="3" t="s">
        <v>228</v>
      </c>
      <c r="C9" s="3" t="s">
        <v>783</v>
      </c>
      <c r="D9" s="3" t="s">
        <v>784</v>
      </c>
      <c r="E9" s="53" t="s">
        <v>785</v>
      </c>
    </row>
    <row r="10">
      <c r="A10" s="3" t="s">
        <v>786</v>
      </c>
      <c r="B10" s="3" t="s">
        <v>228</v>
      </c>
      <c r="C10" s="3" t="s">
        <v>780</v>
      </c>
      <c r="D10" s="3" t="s">
        <v>760</v>
      </c>
      <c r="E10" s="53" t="s">
        <v>787</v>
      </c>
    </row>
    <row r="11">
      <c r="A11" s="3" t="s">
        <v>788</v>
      </c>
      <c r="B11" s="3" t="s">
        <v>75</v>
      </c>
      <c r="C11" s="3" t="s">
        <v>789</v>
      </c>
      <c r="D11" s="3" t="s">
        <v>790</v>
      </c>
      <c r="E11" s="53" t="s">
        <v>791</v>
      </c>
    </row>
    <row r="12">
      <c r="A12" s="3" t="s">
        <v>792</v>
      </c>
      <c r="B12" s="3" t="s">
        <v>75</v>
      </c>
      <c r="C12" s="3" t="s">
        <v>793</v>
      </c>
      <c r="D12" s="3" t="s">
        <v>794</v>
      </c>
      <c r="E12" s="53" t="s">
        <v>795</v>
      </c>
    </row>
    <row r="13">
      <c r="A13" s="3" t="s">
        <v>796</v>
      </c>
      <c r="B13" s="3" t="s">
        <v>119</v>
      </c>
      <c r="C13" s="3" t="s">
        <v>797</v>
      </c>
      <c r="D13" s="3" t="s">
        <v>798</v>
      </c>
      <c r="E13" s="53" t="s">
        <v>799</v>
      </c>
    </row>
    <row r="14">
      <c r="A14" s="3" t="s">
        <v>800</v>
      </c>
      <c r="B14" s="3" t="s">
        <v>119</v>
      </c>
      <c r="C14" s="3" t="s">
        <v>801</v>
      </c>
      <c r="D14" s="3" t="s">
        <v>760</v>
      </c>
      <c r="E14" s="53" t="s">
        <v>802</v>
      </c>
    </row>
    <row r="15">
      <c r="A15" s="3" t="s">
        <v>803</v>
      </c>
      <c r="B15" s="3" t="s">
        <v>119</v>
      </c>
      <c r="C15" s="3" t="s">
        <v>804</v>
      </c>
      <c r="D15" s="3" t="s">
        <v>805</v>
      </c>
      <c r="E15" s="53" t="s">
        <v>806</v>
      </c>
    </row>
    <row r="16">
      <c r="A16" s="3" t="s">
        <v>807</v>
      </c>
      <c r="B16" s="3" t="s">
        <v>808</v>
      </c>
      <c r="C16" s="3" t="s">
        <v>809</v>
      </c>
      <c r="D16" s="3" t="s">
        <v>777</v>
      </c>
      <c r="E16" s="53" t="s">
        <v>810</v>
      </c>
    </row>
    <row r="17">
      <c r="A17" s="3" t="s">
        <v>811</v>
      </c>
      <c r="B17" s="3" t="s">
        <v>808</v>
      </c>
      <c r="C17" s="3" t="s">
        <v>780</v>
      </c>
      <c r="D17" s="3" t="s">
        <v>760</v>
      </c>
      <c r="E17" s="53" t="s">
        <v>812</v>
      </c>
    </row>
    <row r="18">
      <c r="A18" s="3" t="s">
        <v>813</v>
      </c>
      <c r="B18" s="3" t="s">
        <v>37</v>
      </c>
      <c r="C18" s="3" t="s">
        <v>814</v>
      </c>
      <c r="D18" s="3" t="s">
        <v>815</v>
      </c>
      <c r="E18" s="53" t="s">
        <v>816</v>
      </c>
    </row>
    <row r="19">
      <c r="A19" s="3" t="s">
        <v>817</v>
      </c>
      <c r="B19" s="3" t="s">
        <v>37</v>
      </c>
      <c r="C19" s="3" t="s">
        <v>818</v>
      </c>
      <c r="D19" s="3" t="s">
        <v>805</v>
      </c>
      <c r="E19" s="53" t="s">
        <v>819</v>
      </c>
    </row>
    <row r="20">
      <c r="A20" s="3" t="s">
        <v>820</v>
      </c>
      <c r="B20" s="3" t="s">
        <v>821</v>
      </c>
      <c r="C20" s="3" t="s">
        <v>822</v>
      </c>
      <c r="D20" s="3" t="s">
        <v>823</v>
      </c>
      <c r="E20" s="53" t="s">
        <v>824</v>
      </c>
    </row>
    <row r="21">
      <c r="A21" s="3" t="s">
        <v>825</v>
      </c>
      <c r="B21" s="3" t="s">
        <v>821</v>
      </c>
      <c r="C21" s="3" t="s">
        <v>826</v>
      </c>
      <c r="D21" s="3" t="s">
        <v>777</v>
      </c>
      <c r="E21" s="53" t="s">
        <v>827</v>
      </c>
    </row>
    <row r="22">
      <c r="A22" s="3" t="s">
        <v>828</v>
      </c>
      <c r="B22" s="3" t="s">
        <v>145</v>
      </c>
      <c r="C22" s="3" t="s">
        <v>829</v>
      </c>
      <c r="D22" s="3" t="s">
        <v>777</v>
      </c>
      <c r="E22" s="53" t="s">
        <v>830</v>
      </c>
    </row>
    <row r="23">
      <c r="A23" s="3" t="s">
        <v>831</v>
      </c>
      <c r="B23" s="3" t="s">
        <v>145</v>
      </c>
      <c r="C23" s="3" t="s">
        <v>832</v>
      </c>
      <c r="D23" s="3" t="s">
        <v>765</v>
      </c>
      <c r="E23" s="53" t="s">
        <v>833</v>
      </c>
    </row>
    <row r="24">
      <c r="A24" s="3" t="s">
        <v>834</v>
      </c>
      <c r="B24" s="3" t="s">
        <v>467</v>
      </c>
      <c r="C24" s="3" t="s">
        <v>835</v>
      </c>
      <c r="D24" s="3" t="s">
        <v>836</v>
      </c>
      <c r="E24" s="53" t="s">
        <v>471</v>
      </c>
    </row>
    <row r="25">
      <c r="A25" s="3" t="s">
        <v>837</v>
      </c>
      <c r="B25" s="3" t="s">
        <v>107</v>
      </c>
      <c r="C25" s="3" t="s">
        <v>838</v>
      </c>
      <c r="D25" s="3" t="s">
        <v>798</v>
      </c>
      <c r="E25" s="53" t="s">
        <v>839</v>
      </c>
    </row>
    <row r="26">
      <c r="A26" s="3" t="s">
        <v>840</v>
      </c>
      <c r="B26" s="3" t="s">
        <v>107</v>
      </c>
      <c r="C26" s="3" t="s">
        <v>780</v>
      </c>
      <c r="D26" s="3" t="s">
        <v>760</v>
      </c>
      <c r="E26" s="53" t="s">
        <v>841</v>
      </c>
    </row>
    <row r="27">
      <c r="A27" s="3" t="s">
        <v>842</v>
      </c>
      <c r="B27" s="3" t="s">
        <v>244</v>
      </c>
      <c r="C27" s="3" t="s">
        <v>843</v>
      </c>
      <c r="D27" s="3" t="s">
        <v>777</v>
      </c>
      <c r="E27" s="53" t="s">
        <v>844</v>
      </c>
    </row>
    <row r="28">
      <c r="A28" s="3" t="s">
        <v>845</v>
      </c>
      <c r="B28" s="3" t="s">
        <v>244</v>
      </c>
      <c r="C28" s="3" t="s">
        <v>780</v>
      </c>
      <c r="D28" s="3" t="s">
        <v>760</v>
      </c>
      <c r="E28" s="53" t="s">
        <v>846</v>
      </c>
    </row>
    <row r="29">
      <c r="A29" s="3" t="s">
        <v>847</v>
      </c>
      <c r="B29" s="3" t="s">
        <v>133</v>
      </c>
      <c r="C29" s="3" t="s">
        <v>848</v>
      </c>
      <c r="D29" s="3" t="s">
        <v>777</v>
      </c>
      <c r="E29" s="53" t="s">
        <v>849</v>
      </c>
    </row>
    <row r="30">
      <c r="A30" s="3" t="s">
        <v>850</v>
      </c>
      <c r="B30" s="3" t="s">
        <v>133</v>
      </c>
      <c r="C30" s="3" t="s">
        <v>780</v>
      </c>
      <c r="D30" s="3" t="s">
        <v>760</v>
      </c>
      <c r="E30" s="53" t="s">
        <v>851</v>
      </c>
    </row>
    <row r="31">
      <c r="A31" s="3" t="s">
        <v>852</v>
      </c>
      <c r="B31" s="3" t="s">
        <v>180</v>
      </c>
      <c r="C31" s="3" t="s">
        <v>853</v>
      </c>
      <c r="D31" s="3" t="s">
        <v>756</v>
      </c>
      <c r="E31" s="53" t="s">
        <v>854</v>
      </c>
    </row>
    <row r="32">
      <c r="A32" s="3" t="s">
        <v>855</v>
      </c>
      <c r="B32" s="3" t="s">
        <v>180</v>
      </c>
      <c r="C32" s="3" t="s">
        <v>780</v>
      </c>
      <c r="D32" s="3" t="s">
        <v>760</v>
      </c>
      <c r="E32" s="53" t="s">
        <v>856</v>
      </c>
    </row>
    <row r="33">
      <c r="A33" s="3" t="s">
        <v>857</v>
      </c>
      <c r="B33" s="3" t="s">
        <v>17</v>
      </c>
      <c r="C33" s="3" t="s">
        <v>858</v>
      </c>
      <c r="D33" s="3" t="s">
        <v>777</v>
      </c>
      <c r="E33" s="53" t="s">
        <v>859</v>
      </c>
    </row>
    <row r="34">
      <c r="A34" s="3" t="s">
        <v>860</v>
      </c>
      <c r="B34" s="3" t="s">
        <v>17</v>
      </c>
      <c r="C34" s="3" t="s">
        <v>780</v>
      </c>
      <c r="D34" s="3" t="s">
        <v>760</v>
      </c>
      <c r="E34" s="53" t="s">
        <v>861</v>
      </c>
    </row>
    <row r="35">
      <c r="A35" s="3" t="s">
        <v>862</v>
      </c>
      <c r="B35" s="3" t="s">
        <v>86</v>
      </c>
      <c r="C35" s="3" t="s">
        <v>863</v>
      </c>
      <c r="D35" s="3" t="s">
        <v>777</v>
      </c>
      <c r="E35" s="53" t="s">
        <v>864</v>
      </c>
    </row>
    <row r="36">
      <c r="A36" s="3" t="s">
        <v>865</v>
      </c>
      <c r="B36" s="3" t="s">
        <v>86</v>
      </c>
      <c r="C36" s="3" t="s">
        <v>866</v>
      </c>
      <c r="D36" s="3" t="s">
        <v>765</v>
      </c>
      <c r="E36" s="53" t="s">
        <v>867</v>
      </c>
    </row>
    <row r="37">
      <c r="A37" s="3" t="s">
        <v>868</v>
      </c>
      <c r="B37" s="3" t="s">
        <v>50</v>
      </c>
      <c r="C37" s="3" t="s">
        <v>869</v>
      </c>
      <c r="D37" s="3" t="s">
        <v>870</v>
      </c>
      <c r="E37" s="53" t="s">
        <v>871</v>
      </c>
    </row>
    <row r="38">
      <c r="A38" s="3" t="s">
        <v>279</v>
      </c>
      <c r="B38" s="3" t="s">
        <v>50</v>
      </c>
      <c r="C38" s="3" t="s">
        <v>872</v>
      </c>
      <c r="D38" s="3" t="s">
        <v>815</v>
      </c>
      <c r="E38" s="53" t="s">
        <v>873</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s>
  <drawing r:id="rId3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4" max="4" width="24.63"/>
  </cols>
  <sheetData>
    <row r="1">
      <c r="A1" s="3" t="s">
        <v>874</v>
      </c>
      <c r="B1" s="3" t="s">
        <v>2</v>
      </c>
      <c r="C1" s="4" t="s">
        <v>875</v>
      </c>
      <c r="D1" s="3" t="s">
        <v>876</v>
      </c>
    </row>
    <row r="2">
      <c r="A2" s="4" t="s">
        <v>666</v>
      </c>
      <c r="B2" s="4" t="s">
        <v>877</v>
      </c>
      <c r="C2" s="3" t="s">
        <v>878</v>
      </c>
      <c r="D2" s="4" t="s">
        <v>879</v>
      </c>
    </row>
    <row r="3">
      <c r="A3" s="4" t="s">
        <v>880</v>
      </c>
      <c r="B3" s="4" t="s">
        <v>881</v>
      </c>
      <c r="C3" s="3" t="s">
        <v>882</v>
      </c>
      <c r="D3" s="4" t="s">
        <v>883</v>
      </c>
    </row>
    <row r="4">
      <c r="A4" s="4" t="s">
        <v>884</v>
      </c>
      <c r="B4" s="4" t="s">
        <v>885</v>
      </c>
      <c r="C4" s="3" t="s">
        <v>886</v>
      </c>
      <c r="D4" s="4" t="s">
        <v>887</v>
      </c>
    </row>
    <row r="5">
      <c r="A5" s="4" t="s">
        <v>658</v>
      </c>
      <c r="B5" s="4" t="s">
        <v>888</v>
      </c>
      <c r="C5" s="3" t="s">
        <v>889</v>
      </c>
      <c r="D5" s="4" t="s">
        <v>890</v>
      </c>
    </row>
    <row r="6">
      <c r="A6" s="4" t="s">
        <v>891</v>
      </c>
      <c r="B6" s="4" t="s">
        <v>892</v>
      </c>
      <c r="C6" s="3" t="s">
        <v>893</v>
      </c>
      <c r="D6" s="4" t="s">
        <v>894</v>
      </c>
    </row>
    <row r="7">
      <c r="A7" s="4" t="s">
        <v>895</v>
      </c>
      <c r="B7" s="4" t="s">
        <v>896</v>
      </c>
      <c r="C7" s="3" t="s">
        <v>897</v>
      </c>
      <c r="D7" s="4" t="s">
        <v>898</v>
      </c>
    </row>
  </sheetData>
  <printOptions gridLines="1" horizontalCentered="1"/>
  <pageMargins bottom="0.75" footer="0.0" header="0.0" left="0.7" right="0.7" top="0.75"/>
  <pageSetup fitToHeight="0" cellComments="atEnd" orientation="portrait" pageOrder="overThenDown"/>
  <drawing r:id="rId1"/>
</worksheet>
</file>