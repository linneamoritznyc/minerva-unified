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M_WE_Schools_Master" sheetId="1" r:id="rId4"/>
    <sheet state="visible" name="email_context" sheetId="2" r:id="rId5"/>
    <sheet state="visible" name="travel calendar november and de" sheetId="3" r:id="rId6"/>
    <sheet state="visible" name="Event_Checklist" sheetId="4" r:id="rId7"/>
    <sheet state="visible" name="Data_Schema" sheetId="5" r:id="rId8"/>
    <sheet state="visible" name="Summary of FY26 year events - L" sheetId="6" r:id="rId9"/>
    <sheet state="visible" name="Summary of FY25 year events - L" sheetId="7" r:id="rId10"/>
    <sheet state="visible" name="All_Events_Database" sheetId="8" r:id="rId11"/>
    <sheet state="visible" name="iso2" sheetId="9" r:id="rId12"/>
    <sheet state="visible" name="Confirmed_Events" sheetId="10" r:id="rId13"/>
    <sheet state="visible" name="European University Fairs FY26" sheetId="11" r:id="rId14"/>
    <sheet state="visible" name="CONTACT Master" sheetId="12" r:id="rId15"/>
    <sheet state="visible" name="Educational organizations Europ" sheetId="13" r:id="rId16"/>
    <sheet state="visible" name="Sheet12" sheetId="14" r:id="rId17"/>
    <sheet state="visible" name="Geo_Codes" sheetId="15" r:id="rId18"/>
  </sheets>
  <definedNames/>
  <calcPr/>
</workbook>
</file>

<file path=xl/sharedStrings.xml><?xml version="1.0" encoding="utf-8"?>
<sst xmlns="http://schemas.openxmlformats.org/spreadsheetml/2006/main" count="8286" uniqueCount="3907">
  <si>
    <t>SchoolID</t>
  </si>
  <si>
    <t>School Name</t>
  </si>
  <si>
    <t>Country</t>
  </si>
  <si>
    <t>Country Code</t>
  </si>
  <si>
    <t>City</t>
  </si>
  <si>
    <t>Address</t>
  </si>
  <si>
    <t>Priority</t>
  </si>
  <si>
    <t>Website</t>
  </si>
  <si>
    <t>School Phone Number</t>
  </si>
  <si>
    <t>General Email</t>
  </si>
  <si>
    <t>IB/Int'l Status</t>
  </si>
  <si>
    <t>Curriculum</t>
  </si>
  <si>
    <t>Number of High School Students</t>
  </si>
  <si>
    <t>Socioeconomic Context</t>
  </si>
  <si>
    <t>Tuition Fees (Annual)</t>
  </si>
  <si>
    <t>Special Focus</t>
  </si>
  <si>
    <t>Primary Contact Name</t>
  </si>
  <si>
    <t>Primary Contact Title</t>
  </si>
  <si>
    <t>Primary Contact Email</t>
  </si>
  <si>
    <t>Relationship Status</t>
  </si>
  <si>
    <t>Last Contact Type</t>
  </si>
  <si>
    <t>Date of last contact</t>
  </si>
  <si>
    <t>Replied Status</t>
  </si>
  <si>
    <t>Activity Notes</t>
  </si>
  <si>
    <t>Email Strength (1-5)</t>
  </si>
  <si>
    <t>Merge status</t>
  </si>
  <si>
    <t>Next Step</t>
  </si>
  <si>
    <t>AND-IS</t>
  </si>
  <si>
    <t>International School of Andorra</t>
  </si>
  <si>
    <t>Andorra</t>
  </si>
  <si>
    <t>AND</t>
  </si>
  <si>
    <t>La Massana</t>
  </si>
  <si>
    <t>Ctra. d'Arinsal, 13</t>
  </si>
  <si>
    <t>B</t>
  </si>
  <si>
    <t>https://isandorra.com</t>
  </si>
  <si>
    <t>+376 836 236</t>
  </si>
  <si>
    <t>info@isandorra.com</t>
  </si>
  <si>
    <t>Yes</t>
  </si>
  <si>
    <t>IB PYP, UK (IGCSE, A-Level)</t>
  </si>
  <si>
    <t>~70 (Sec/Sixth Form est.)</t>
  </si>
  <si>
    <t>Mid-to-High Tuition. Local/Expat Base.</t>
  </si>
  <si>
    <t>~€13,500 (Sec)</t>
  </si>
  <si>
    <t>Small, personalized learning environment</t>
  </si>
  <si>
    <t>N/A</t>
  </si>
  <si>
    <t>Admissions</t>
  </si>
  <si>
    <t>Not Contacted</t>
  </si>
  <si>
    <t>ATA-NONE</t>
  </si>
  <si>
    <t>N/A (Non-viable target)</t>
  </si>
  <si>
    <t>Antarctica</t>
  </si>
  <si>
    <t>ATA</t>
  </si>
  <si>
    <t>No</t>
  </si>
  <si>
    <t>Research Bases Only. Non-viable target.</t>
  </si>
  <si>
    <t>AUT-01</t>
  </si>
  <si>
    <t>American International School Vienna (AISV)</t>
  </si>
  <si>
    <t>Austria</t>
  </si>
  <si>
    <t>AUT</t>
  </si>
  <si>
    <t>Vienna</t>
  </si>
  <si>
    <t>Salmannsdorfer Strasse 47, 1190</t>
  </si>
  <si>
    <t>A</t>
  </si>
  <si>
    <t>www.ais.at</t>
  </si>
  <si>
    <t>+43 1 40132 2511</t>
  </si>
  <si>
    <t>info@ais.at</t>
  </si>
  <si>
    <t>US HS Diploma, IB Diploma, AP</t>
  </si>
  <si>
    <t>~280 (G9-12 est.)</t>
  </si>
  <si>
    <t>High-fee. Diplomacy/Int'l Business families.</t>
  </si>
  <si>
    <t>€28,028 (Day)</t>
  </si>
  <si>
    <t>Sonia Martinez Solano</t>
  </si>
  <si>
    <t>HS Counseling Admin Asst</t>
  </si>
  <si>
    <t>s.martinezsolano@ais.at</t>
  </si>
  <si>
    <t>Contacted</t>
  </si>
  <si>
    <t>Email</t>
  </si>
  <si>
    <t>Contacted re: virtual fair. Uses CIALFO for visits.</t>
  </si>
  <si>
    <t>Register on CIALFO</t>
  </si>
  <si>
    <t>AUT-02</t>
  </si>
  <si>
    <t>Danube International School Vienna (DISV)</t>
  </si>
  <si>
    <t>Josef-Gall-Gasse 2, 1020</t>
  </si>
  <si>
    <t>www.danubeschool.com</t>
  </si>
  <si>
    <t>+43 1 720 3110</t>
  </si>
  <si>
    <t>info@danubeschool.com</t>
  </si>
  <si>
    <t>IB PYP, IB MYP, IB Diploma</t>
  </si>
  <si>
    <t>~200 (G6-12 est.)</t>
  </si>
  <si>
    <t>High-fee. International &amp; local families.</t>
  </si>
  <si>
    <t>€25,800 (Day)</t>
  </si>
  <si>
    <t>Judith Trichlin</t>
  </si>
  <si>
    <t>Registrar / Admissions</t>
  </si>
  <si>
    <t>registrar@danubeschool.com</t>
  </si>
  <si>
    <t>Initial Outreach</t>
  </si>
  <si>
    <t>AUT-03</t>
  </si>
  <si>
    <t>Amadeus International School Vienna</t>
  </si>
  <si>
    <t>Bastiengasse 36-38, 1180</t>
  </si>
  <si>
    <t>amadeus-vienna.com</t>
  </si>
  <si>
    <t>+43 1 470 46 00</t>
  </si>
  <si>
    <t>info@amadeus-vienna.com</t>
  </si>
  <si>
    <t>IB (PYP, MYP, DP)</t>
  </si>
  <si>
    <t>~150 (G9-12 est.)</t>
  </si>
  <si>
    <t>Elite. High-fee. International clientele.</t>
  </si>
  <si>
    <t>€37,865 (Day) / €65,290 (Boarding)</t>
  </si>
  <si>
    <t>Music &amp; Arts Academy</t>
  </si>
  <si>
    <t>Faye Jackson</t>
  </si>
  <si>
    <t>Head of Uni &amp; Careers Counselling</t>
  </si>
  <si>
    <t>f.jackson@amadeus-vienna.com</t>
  </si>
  <si>
    <t>AUT-04</t>
  </si>
  <si>
    <t>Vienna International School</t>
  </si>
  <si>
    <t>Straße der Menschenrechte 1, 1220</t>
  </si>
  <si>
    <t>www.vis.ac.at</t>
  </si>
  <si>
    <t>+43 1 203 55 95</t>
  </si>
  <si>
    <t>info@vis.ac.at</t>
  </si>
  <si>
    <t>~500 (G9-12 est.)</t>
  </si>
  <si>
    <t>High-fee. Primarily serves UN &amp; diplomatic community.</t>
  </si>
  <si>
    <t>€29,160 (Day)</t>
  </si>
  <si>
    <t>Joanna Rance / Robert Duff</t>
  </si>
  <si>
    <t>University &amp; College Counsellor</t>
  </si>
  <si>
    <t>jrance@vis.ac.at; rduff@vis.ac.at</t>
  </si>
  <si>
    <t>(Priority A confirmed by Recruitment angles.csv)</t>
  </si>
  <si>
    <t>AUT-05</t>
  </si>
  <si>
    <t>St. Gilgen International School</t>
  </si>
  <si>
    <t>St. Gilgen</t>
  </si>
  <si>
    <t>Ischlerstrasse 13, 5340</t>
  </si>
  <si>
    <t>A+</t>
  </si>
  <si>
    <t>www.stgis.at</t>
  </si>
  <si>
    <t>+43 6227 202 59</t>
  </si>
  <si>
    <t>info@stgis.at</t>
  </si>
  <si>
    <t>IB (MYP, DP)</t>
  </si>
  <si>
    <t>~100 (G9-12 est.)</t>
  </si>
  <si>
    <t>Elite. Highest-fee. International wealthy families.</t>
  </si>
  <si>
    <t>€48,600 (Day) / €73,200 (Boarding)</t>
  </si>
  <si>
    <t>Boarding</t>
  </si>
  <si>
    <t>Magdalena Cabrera</t>
  </si>
  <si>
    <t>University &amp; Careers Advisor</t>
  </si>
  <si>
    <t>m.cabrera@stgis.at</t>
  </si>
  <si>
    <t>Prime target for high-paying students.</t>
  </si>
  <si>
    <t>High Priority Outreach</t>
  </si>
  <si>
    <t>AUT-06</t>
  </si>
  <si>
    <t>Schloss Krumbach International School</t>
  </si>
  <si>
    <t>Krumbach</t>
  </si>
  <si>
    <t>Schloss 1, 2851</t>
  </si>
  <si>
    <t>krumbach.school</t>
  </si>
  <si>
    <t>+43 2647 423 33</t>
  </si>
  <si>
    <t>info@krumbach.school</t>
  </si>
  <si>
    <t>IB Diploma, A-Levels, IGCSE</t>
  </si>
  <si>
    <t>~50 (Total)</t>
  </si>
  <si>
    <t>Elite "Castle School". High-fee. International students.</t>
  </si>
  <si>
    <t>€43,680 (Boarding)</t>
  </si>
  <si>
    <t>Boarding, Cambridge Int'l</t>
  </si>
  <si>
    <t>Simon Terry</t>
  </si>
  <si>
    <t>Head of University Counselling</t>
  </si>
  <si>
    <t>s.terry@krumbach.school</t>
  </si>
  <si>
    <t>AUT-07</t>
  </si>
  <si>
    <t>The American International School in Salzburg</t>
  </si>
  <si>
    <t>Salzburg</t>
  </si>
  <si>
    <t>Moosstrasse 106, 5020</t>
  </si>
  <si>
    <t>www.ais-salzburg.at</t>
  </si>
  <si>
    <t>+43 662 824 617</t>
  </si>
  <si>
    <t>office@ais-salzburg.at</t>
  </si>
  <si>
    <t>American Diploma, AP Courses</t>
  </si>
  <si>
    <t>~100 (Total G7-12)</t>
  </si>
  <si>
    <t>Elite Boarding. High-fee. Primarily int'l students.</t>
  </si>
  <si>
    <t>€55,800 (Boarding)</t>
  </si>
  <si>
    <t>Boarding, American curriculum</t>
  </si>
  <si>
    <t>Kathy Burns</t>
  </si>
  <si>
    <t>College Counselor</t>
  </si>
  <si>
    <t>kburns@ais-salzburg.at</t>
  </si>
  <si>
    <t>AUT-08</t>
  </si>
  <si>
    <t>Theresianum</t>
  </si>
  <si>
    <t>Favoritenstraße 15, 1040</t>
  </si>
  <si>
    <t>www.theresianum.ac.at</t>
  </si>
  <si>
    <t>+43 1 505 15 71</t>
  </si>
  <si>
    <t>sekretariat@theresianum.ac.at</t>
  </si>
  <si>
    <t>Austrian Matura, IB Diploma</t>
  </si>
  <si>
    <t>~400 (Oberstufe G9-12)</t>
  </si>
  <si>
    <t>Prestigious Public Gym. &amp; Private Boarding. Elite network.</t>
  </si>
  <si>
    <t>Boarding: €10k-14k est.</t>
  </si>
  <si>
    <t>Languages, Boarding</t>
  </si>
  <si>
    <t>Mag. Dr. Nadja Mader</t>
  </si>
  <si>
    <t>IB Coordinator</t>
  </si>
  <si>
    <t>nadja.mader@theresianum.ac.at</t>
  </si>
  <si>
    <t>Target from Recruitment angles.csv</t>
  </si>
  <si>
    <t>AUT-09</t>
  </si>
  <si>
    <t>Lycée Français de Vienne</t>
  </si>
  <si>
    <t>Liechtensteinstrasse 37A, 1090</t>
  </si>
  <si>
    <t>www.lyceefrancais.at</t>
  </si>
  <si>
    <t>+43 1 317 22 41</t>
  </si>
  <si>
    <t>info@lyceefrancais.at</t>
  </si>
  <si>
    <t>French Baccalauréat (inc. OIB)</t>
  </si>
  <si>
    <t>~600 (Lycée G10-12)</t>
  </si>
  <si>
    <t>Prestigious AEFE school. Fees apply. Affluent area.</t>
  </si>
  <si>
    <t>~€6,000-€7,000 est.</t>
  </si>
  <si>
    <t>French Curriculum</t>
  </si>
  <si>
    <t>Mme. Carole REBOUL</t>
  </si>
  <si>
    <t>Proviseur Adjoint (Head of Secondary)</t>
  </si>
  <si>
    <t>carole.reboul@lyceefrancais.at</t>
  </si>
  <si>
    <t>Strong results.</t>
  </si>
  <si>
    <t>AUT-10</t>
  </si>
  <si>
    <t>International Christian School of Vienna (ICSV)</t>
  </si>
  <si>
    <t>Wagramer Str. 187, 1220</t>
  </si>
  <si>
    <t>www.icsv.at</t>
  </si>
  <si>
    <t>+43 1 251 22 0</t>
  </si>
  <si>
    <t>office@icsv.at</t>
  </si>
  <si>
    <t>American Diploma, IB/AP Courses</t>
  </si>
  <si>
    <t>~120 (G9-12 est.)</t>
  </si>
  <si>
    <t>High-fee. International Christian community.</t>
  </si>
  <si>
    <t>€23,088 (Day)</t>
  </si>
  <si>
    <t>Christian</t>
  </si>
  <si>
    <t>Benjamin J. Baker</t>
  </si>
  <si>
    <t>Secondary Principal / College Counselor</t>
  </si>
  <si>
    <t>bbaker@icsv.at</t>
  </si>
  <si>
    <t>AUT-11</t>
  </si>
  <si>
    <t>Graz International Bilingual School (GIBS)</t>
  </si>
  <si>
    <t>Graz</t>
  </si>
  <si>
    <t>Georgigasse 85, 8020</t>
  </si>
  <si>
    <t>www.gibs.at</t>
  </si>
  <si>
    <t>+43 5 0248 348</t>
  </si>
  <si>
    <t>office@gibs.at</t>
  </si>
  <si>
    <t>Austrian Matura (Bi), IB Diploma</t>
  </si>
  <si>
    <t>~250 (Oberstufe G9-12)</t>
  </si>
  <si>
    <t>Public bilingual Gymnasium. Selective entry.</t>
  </si>
  <si>
    <t>Public/Nominal</t>
  </si>
  <si>
    <t>Bilingual (EN/DE)</t>
  </si>
  <si>
    <t>Mag. Elisabeth Prenner</t>
  </si>
  <si>
    <t>Bildungsberater (Academic Advisor)</t>
  </si>
  <si>
    <t>elisabeth.prenner@gibs.at</t>
  </si>
  <si>
    <t>Well-regarded IB school outside Vienna.</t>
  </si>
  <si>
    <t>AUT-12</t>
  </si>
  <si>
    <t>Lisa Junior International School Linz</t>
  </si>
  <si>
    <t>Linz</t>
  </si>
  <si>
    <t>Aubrunnerweg 43, 4040</t>
  </si>
  <si>
    <t>www.lisa-junior.at</t>
  </si>
  <si>
    <t>+43 732 245 867</t>
  </si>
  <si>
    <t>office@lisa-junior.at</t>
  </si>
  <si>
    <t>IB PYP, MYP (leads to LISA)</t>
  </si>
  <si>
    <t>~150 (MYP G6-8)</t>
  </si>
  <si>
    <t>Private Int'l School. Feeder to LISA. Fees apply.</t>
  </si>
  <si>
    <t>~€5,000 est.</t>
  </si>
  <si>
    <t>Petra Lasinger</t>
  </si>
  <si>
    <t>Principal</t>
  </si>
  <si>
    <t>p.lasinger@lisa-junior.at</t>
  </si>
  <si>
    <t>(Note: Only up to Grade 8)</t>
  </si>
  <si>
    <t>Initial Outreach (via LISA)</t>
  </si>
  <si>
    <t>AUT-13</t>
  </si>
  <si>
    <t>Linz International School Auhof (LISA)</t>
  </si>
  <si>
    <t>Aubrunnerweg 4, 4040</t>
  </si>
  <si>
    <t>www.lisa.at</t>
  </si>
  <si>
    <t>+43 732 75 99 75</t>
  </si>
  <si>
    <t>office@lisa.at</t>
  </si>
  <si>
    <t>IB Diploma, Austrian Matura</t>
  </si>
  <si>
    <t>Public Gymnasium. Selective IB stream.</t>
  </si>
  <si>
    <t>Mag. Dr. Gerda Lilek</t>
  </si>
  <si>
    <t>IB Coordinator / Bildungsberater</t>
  </si>
  <si>
    <t>g.lilek@lisa.at</t>
  </si>
  <si>
    <t>Major IB school in Upper Austria.</t>
  </si>
  <si>
    <t>AUT-14</t>
  </si>
  <si>
    <t>Akademisches Gymnasium Salzburg</t>
  </si>
  <si>
    <t>Sinnhubstraße 15, 5020</t>
  </si>
  <si>
    <t>C</t>
  </si>
  <si>
    <t>www.akadgym.at</t>
  </si>
  <si>
    <t>+43 662 623 711</t>
  </si>
  <si>
    <t>office@akadgym.at</t>
  </si>
  <si>
    <t>Austrian Matura</t>
  </si>
  <si>
    <t>~300 (Oberstufe G9-12)</t>
  </si>
  <si>
    <t>Top public school in Salzburg. Selective.</t>
  </si>
  <si>
    <t>Humanistic</t>
  </si>
  <si>
    <t>Mag. Sabine Höfelsauer</t>
  </si>
  <si>
    <t>Bildungsberaterin</t>
  </si>
  <si>
    <t>sabine.hoefelsauer@akadgym.at</t>
  </si>
  <si>
    <t>Prestigious local reputation.</t>
  </si>
  <si>
    <t>AUT-15</t>
  </si>
  <si>
    <t>Akademisches Gymnasium Innsbruck</t>
  </si>
  <si>
    <t>Innsbruck</t>
  </si>
  <si>
    <t>Angerzellgasse 14, 6020</t>
  </si>
  <si>
    <t>www.agibk.at</t>
  </si>
  <si>
    <t>+43 512 581 657</t>
  </si>
  <si>
    <t>office@agibk.at</t>
  </si>
  <si>
    <t>~350 (Oberstufe G9-12)</t>
  </si>
  <si>
    <t>Top public school in Innsbruck. Selective.</t>
  </si>
  <si>
    <t>Mag. Angelika Flaim</t>
  </si>
  <si>
    <t>a.flaim@tsn.at</t>
  </si>
  <si>
    <t>BEL-01</t>
  </si>
  <si>
    <t>British School of Brussels (BSB)</t>
  </si>
  <si>
    <t>Belgium</t>
  </si>
  <si>
    <t>BEL</t>
  </si>
  <si>
    <t>Tervuren</t>
  </si>
  <si>
    <t>Pater Dupierreuxlaan 1, 3080</t>
  </si>
  <si>
    <t>www.britishschool.be</t>
  </si>
  <si>
    <t>+32 2 766 04 30</t>
  </si>
  <si>
    <t>admissions@britishschool.be</t>
  </si>
  <si>
    <t>A-Levels, IB Diploma, BTEC</t>
  </si>
  <si>
    <t>~500 (Sec est.)</t>
  </si>
  <si>
    <t>High-fee (~€35k+). 70 nationalities. Hub for expats.</t>
  </si>
  <si>
    <t>€35,000+ (Sec)</t>
  </si>
  <si>
    <t>Triple Pathway (A-Level/IB/BTEC)</t>
  </si>
  <si>
    <t>Mark Andrews</t>
  </si>
  <si>
    <t>University Counsellor</t>
  </si>
  <si>
    <t>mandrews@britishschool.be</t>
  </si>
  <si>
    <t>99%+ Pass rate. Excellent reputation.</t>
  </si>
  <si>
    <t>BEL-02</t>
  </si>
  <si>
    <t>International School of Brussels (ISB)</t>
  </si>
  <si>
    <t>Brussels</t>
  </si>
  <si>
    <t>Kattenberg 19, 1170</t>
  </si>
  <si>
    <t>www.isb.be</t>
  </si>
  <si>
    <t>+32 2 661 42 11</t>
  </si>
  <si>
    <t>info@isb.be</t>
  </si>
  <si>
    <t>IB Diploma, US HS Diploma, BTEC, AP</t>
  </si>
  <si>
    <t>~400 (HS est.)</t>
  </si>
  <si>
    <t>High-fee (~€45k). 60+ nat. Hub for expats.</t>
  </si>
  <si>
    <t>€45,750 (HS)</t>
  </si>
  <si>
    <t>Personalized Learning Pathways</t>
  </si>
  <si>
    <t>David Hawkins</t>
  </si>
  <si>
    <t>hawkinsd@isb.be</t>
  </si>
  <si>
    <t>Visited</t>
  </si>
  <si>
    <t>Event (Fair)</t>
  </si>
  <si>
    <t>(9/10). Attended Fair. Counselor amazing.</t>
  </si>
  <si>
    <t>Follow-up from Fair</t>
  </si>
  <si>
    <t>BEL-03</t>
  </si>
  <si>
    <t>Antwerp International School (AIS)</t>
  </si>
  <si>
    <t>Antwerp</t>
  </si>
  <si>
    <t>Veltwijcklaan 180, 2180 Ekeren</t>
  </si>
  <si>
    <t>www.ais-antwerp.be</t>
  </si>
  <si>
    <t>+32 3 543 93 00</t>
  </si>
  <si>
    <t>ais@ais-antwerp.be</t>
  </si>
  <si>
    <t>High-fee (~€25k). 40 nationalities.</t>
  </si>
  <si>
    <t>€25,300 (HS)</t>
  </si>
  <si>
    <t>Technology Integration</t>
  </si>
  <si>
    <t>Lindsay Burton</t>
  </si>
  <si>
    <t>Career &amp; Uni Counsellor</t>
  </si>
  <si>
    <t>N/A (Use IBO form)</t>
  </si>
  <si>
    <t>Hosts University Fair in Spring.</t>
  </si>
  <si>
    <t>BEL-04</t>
  </si>
  <si>
    <t>St. John's International School</t>
  </si>
  <si>
    <t>Waterloo</t>
  </si>
  <si>
    <t>Drève Richelle 146, 1410</t>
  </si>
  <si>
    <t>www.stjohns.be</t>
  </si>
  <si>
    <t>+32 2 352 06 10</t>
  </si>
  <si>
    <t>info@stjohns.be</t>
  </si>
  <si>
    <t>IB (PYP, MYP, DP), AP</t>
  </si>
  <si>
    <t>~200 (HS est.)</t>
  </si>
  <si>
    <t>High-fee (~€40k). 67 nat. Hub near Brussels.</t>
  </si>
  <si>
    <t>€40,300 (HS)</t>
  </si>
  <si>
    <t>Arts &amp; Sports Programs</t>
  </si>
  <si>
    <t>Wendell Hausdorff</t>
  </si>
  <si>
    <t>whausdorff@stjohns.be</t>
  </si>
  <si>
    <t>BEL-05</t>
  </si>
  <si>
    <t>Bogaerts International School (BIS)</t>
  </si>
  <si>
    <t>Domaine Latour de Freins, 1180 Uccle</t>
  </si>
  <si>
    <t>www.bischool.com</t>
  </si>
  <si>
    <t>+32 2 363 04 70</t>
  </si>
  <si>
    <t>office@bischool.com</t>
  </si>
  <si>
    <t>IB (K-12)</t>
  </si>
  <si>
    <t>~100 (HS est.)</t>
  </si>
  <si>
    <t>High-fee (~€24k). 50+ nations. Growing school.</t>
  </si>
  <si>
    <t>€24,050 (HS)</t>
  </si>
  <si>
    <t>Student Agency, Inquiry-based</t>
  </si>
  <si>
    <t>Graduates often place well at university.</t>
  </si>
  <si>
    <t>BEL-06</t>
  </si>
  <si>
    <t>European School Brussels I (Uccle)</t>
  </si>
  <si>
    <t>Avenue du Vert Chasseur 46, 1180 Uccle</t>
  </si>
  <si>
    <t>www.eeb1.com</t>
  </si>
  <si>
    <t>+32 2 373 86 11</t>
  </si>
  <si>
    <t>direction@eeb1.eu</t>
  </si>
  <si>
    <t>European Baccalaureate</t>
  </si>
  <si>
    <t>~1000+ (Sec)</t>
  </si>
  <si>
    <t>EU Staff families. Multilingual, highly academic.</t>
  </si>
  <si>
    <t>Nominal (EU staff)</t>
  </si>
  <si>
    <t>Multilingual Sections (DE, EN, FR, ES, etc.)</t>
  </si>
  <si>
    <t>Conseiller d'orientation</t>
  </si>
  <si>
    <t>Prime "Euro School" target.</t>
  </si>
  <si>
    <t>BEL-07</t>
  </si>
  <si>
    <t>Collège Saint-Michel</t>
  </si>
  <si>
    <t>Boulevard Saint-Michel 24, 1040 Etterbeek</t>
  </si>
  <si>
    <t>www.college-st-michel.be</t>
  </si>
  <si>
    <t>+32 2 739 32 11</t>
  </si>
  <si>
    <t>secretariat@college-st-michel.be</t>
  </si>
  <si>
    <t>Belgian (French Comm.)</t>
  </si>
  <si>
    <t>~600+ (Sec)</t>
  </si>
  <si>
    <t>Prestigious Jesuit College. Historically elite Brussels families.</t>
  </si>
  <si>
    <t>Low (Subsidized)</t>
  </si>
  <si>
    <t>Jesuit Education, Classics</t>
  </si>
  <si>
    <t>Access point to established Belgian elite.</t>
  </si>
  <si>
    <t>BEL-08</t>
  </si>
  <si>
    <t>Sint-Jan Berchmanscollege</t>
  </si>
  <si>
    <t>Ursulinenstraat 4, 1000 Brussels</t>
  </si>
  <si>
    <t>www.sintjanberchmanscollege.be</t>
  </si>
  <si>
    <t>+32 2 511 20 74</t>
  </si>
  <si>
    <t>info@sjb.brussels</t>
  </si>
  <si>
    <t>Belgian (Flemish Comm.)</t>
  </si>
  <si>
    <t>~500+ (Sec)</t>
  </si>
  <si>
    <t>Prestigious Jesuit College (Flemish). Historically elite families.</t>
  </si>
  <si>
    <t>Jesuit Education, STEM options</t>
  </si>
  <si>
    <t>Flemish counterpart to Saint-Michel.</t>
  </si>
  <si>
    <t>BEL-09</t>
  </si>
  <si>
    <t>Da Vinci International School Antwerp</t>
  </si>
  <si>
    <t>Verbondstraat 67, 2000 Antwerp</t>
  </si>
  <si>
    <t>www.da-vinci.be</t>
  </si>
  <si>
    <t>+32 3 237 92 28</t>
  </si>
  <si>
    <t>info@da-vinci.be</t>
  </si>
  <si>
    <t>IB DP, IGCSE, IMYC</t>
  </si>
  <si>
    <t>~100 (Sec)</t>
  </si>
  <si>
    <t>Private International. High-fee (~€20k+).</t>
  </si>
  <si>
    <t>~€20,000+</t>
  </si>
  <si>
    <t>Small Classes, STEAM</t>
  </si>
  <si>
    <t>Nathalie Brouwers</t>
  </si>
  <si>
    <t>IB DP Coordinator</t>
  </si>
  <si>
    <t>nathalie.brouwers@da-vinci.be</t>
  </si>
  <si>
    <t>Smaller alternative to AIS Antwerp.</t>
  </si>
  <si>
    <t>BEL-10</t>
  </si>
  <si>
    <t>BEPS International School</t>
  </si>
  <si>
    <t>Avenue Franklin Roosevelt 23, 1050 Ixelles</t>
  </si>
  <si>
    <t>www.beps.com</t>
  </si>
  <si>
    <t>+32 2 648 43 11</t>
  </si>
  <si>
    <t>info@beps.com</t>
  </si>
  <si>
    <t>~100 (Sec est.)</t>
  </si>
  <si>
    <t>High-fee (~€30k). International families in Ixelles.</t>
  </si>
  <si>
    <t>~€30,500 (DP)</t>
  </si>
  <si>
    <t>Inquiry-based learning</t>
  </si>
  <si>
    <t>Located in affluent embassy district.</t>
  </si>
  <si>
    <t>BEL-11</t>
  </si>
  <si>
    <t>Montgomery International School</t>
  </si>
  <si>
    <t>Rue du Duc 133, 1200 Woluwe-Saint-Lambert</t>
  </si>
  <si>
    <t>www.ecole-montgomery.be</t>
  </si>
  <si>
    <t>+32 2 733 63 23</t>
  </si>
  <si>
    <t>info@ecole-montgomery.be</t>
  </si>
  <si>
    <t>High-fee (~€32k). Bilingual FR/EN.</t>
  </si>
  <si>
    <t>~€32,292 (DP)</t>
  </si>
  <si>
    <t>Bilingual (FR/EN)</t>
  </si>
  <si>
    <t>Strong bilingual focus.</t>
  </si>
  <si>
    <t>BEL-12</t>
  </si>
  <si>
    <t>Lycée Français Jean Monnet</t>
  </si>
  <si>
    <t>Avenue du Lycée Français 9, 1180 Uccle</t>
  </si>
  <si>
    <t>www.lyceefrancais.be</t>
  </si>
  <si>
    <t>+32 2 374 58 78</t>
  </si>
  <si>
    <t>secretariat@lyceefrancais.be</t>
  </si>
  <si>
    <t>~1000+ (Lycée)</t>
  </si>
  <si>
    <t>Prestigious AEFE school. Fees apply. Affluent Uccle area.</t>
  </si>
  <si>
    <t>~€7,000-€9,000 est.</t>
  </si>
  <si>
    <t>French Curriculum, Languages</t>
  </si>
  <si>
    <t>Proviseur Adjoint</t>
  </si>
  <si>
    <t>Large feeder to French/Belgian universities.</t>
  </si>
  <si>
    <t>BEL-13</t>
  </si>
  <si>
    <t>Sint-Lodewijkscollege Brugge</t>
  </si>
  <si>
    <t>Bruges</t>
  </si>
  <si>
    <t>Magdalenastraat 30, 8200 Brugge</t>
  </si>
  <si>
    <t>www.sint-lodewijkscollege.be</t>
  </si>
  <si>
    <t>+32 50 33 24 37</t>
  </si>
  <si>
    <t>info@sint-lodewijkscollege.be</t>
  </si>
  <si>
    <t>Prestigious Catholic College. Historically established.</t>
  </si>
  <si>
    <t>Catholic Education, Classics</t>
  </si>
  <si>
    <t>Well-regarded regional school.</t>
  </si>
  <si>
    <t>BEL-14</t>
  </si>
  <si>
    <t>Sint-Barbaracollege</t>
  </si>
  <si>
    <t>Ghent</t>
  </si>
  <si>
    <t>Savaanstraat 33, 9000 Ghent</t>
  </si>
  <si>
    <t>www.sint-barbara.be</t>
  </si>
  <si>
    <t>+32 9 235 72 70</t>
  </si>
  <si>
    <t>info@sint-barbara.be</t>
  </si>
  <si>
    <t>Prestigious Jesuit College (Ghent). Strong academics.</t>
  </si>
  <si>
    <t>Jesuit Education, Science/Math</t>
  </si>
  <si>
    <t>Key feeder school in Ghent.</t>
  </si>
  <si>
    <t>BEL-15</t>
  </si>
  <si>
    <t>École internationale Le Verseau</t>
  </si>
  <si>
    <t>Wavre (Bierges)</t>
  </si>
  <si>
    <t>Boulevard de l'Europe 17, 1301 Bierges</t>
  </si>
  <si>
    <t>www.eiverseau.be</t>
  </si>
  <si>
    <t>+32 10 41 72 27</t>
  </si>
  <si>
    <t>info@eiverseau.be</t>
  </si>
  <si>
    <t>IB DP, Belgian (French Comm.)</t>
  </si>
  <si>
    <t>~300 (Sec. est.)</t>
  </si>
  <si>
    <t>Private school, fees apply. Known IB programme south of Brussels.</t>
  </si>
  <si>
    <t>~€10,000-€15,000 est.</t>
  </si>
  <si>
    <t>IB Diploma Programme</t>
  </si>
  <si>
    <t>Mme Laurence Raty</t>
  </si>
  <si>
    <t>lraty@eiverseau.be</t>
  </si>
  <si>
    <t>Strong IB results.</t>
  </si>
  <si>
    <t>BEL-16</t>
  </si>
  <si>
    <t>ISF Waterloo International School</t>
  </si>
  <si>
    <t>Chaussée de Waterloo 280, 1640 Sint-Genesius-Rode</t>
  </si>
  <si>
    <t>www.isfwaterloo.org</t>
  </si>
  <si>
    <t>+32 2 358 56 06</t>
  </si>
  <si>
    <t>office@isfwaterloo.org</t>
  </si>
  <si>
    <t>UK Curriculum (IGCSE, A-Level), IPC</t>
  </si>
  <si>
    <t>~200 (Sec. est.)</t>
  </si>
  <si>
    <t>High-fee (~€24k). Part of ISF group.</t>
  </si>
  <si>
    <t>~€23,980 (Sec)</t>
  </si>
  <si>
    <t>British Curriculum</t>
  </si>
  <si>
    <t>Focus on UK university placement.</t>
  </si>
  <si>
    <t>BEL-17</t>
  </si>
  <si>
    <t>Abdijschool van Zevenkerken</t>
  </si>
  <si>
    <t>Bruges (Sint-Andries)</t>
  </si>
  <si>
    <t>Zevenkerken 4, 8200 Sint-Andries</t>
  </si>
  <si>
    <t>www.abdijschool.be</t>
  </si>
  <si>
    <t>+32 50 40 61 90</t>
  </si>
  <si>
    <t>info@abdijschool.be</t>
  </si>
  <si>
    <t>~200 (Sec. Boarding)</t>
  </si>
  <si>
    <t>Prestigious Catholic Boarding School. Historically significant.</t>
  </si>
  <si>
    <t>Boarding fees apply</t>
  </si>
  <si>
    <t>Boarding, Benedictine Tradition</t>
  </si>
  <si>
    <t>Draws students nationally.</t>
  </si>
  <si>
    <t>BEL-18</t>
  </si>
  <si>
    <t>Collège Cardinal Mercier</t>
  </si>
  <si>
    <t>Braine-l'Alleud</t>
  </si>
  <si>
    <t>Chaussée de Mont-Saint-Jean 83, 1420</t>
  </si>
  <si>
    <t>www.ccm.be</t>
  </si>
  <si>
    <t>+32 2 386 15 11</t>
  </si>
  <si>
    <t>info@ccm.be</t>
  </si>
  <si>
    <t>Large, reputable Catholic school. South of Brussels.</t>
  </si>
  <si>
    <t>Catholic Education, Technical Options</t>
  </si>
  <si>
    <t>Strong local reputation.</t>
  </si>
  <si>
    <t>BEL-19</t>
  </si>
  <si>
    <t>Athenee Robert Catteau</t>
  </si>
  <si>
    <t>Rue Ernest Allard 49, 1000 Brussels</t>
  </si>
  <si>
    <t>www.arcbruxelles.be</t>
  </si>
  <si>
    <t>+32 2 500 73 60</t>
  </si>
  <si>
    <t>info@arcbruxelles.be</t>
  </si>
  <si>
    <t>Highly selective Public Athenee. Known for rigor. Central Brussels elite.</t>
  </si>
  <si>
    <t>Academic Rigor, Preparatory</t>
  </si>
  <si>
    <t>Feeder to top Belgian universities.</t>
  </si>
  <si>
    <t>BES-01</t>
  </si>
  <si>
    <t>Scholengemeenschap Bonaire (SGB)</t>
  </si>
  <si>
    <t>Bonaire, St Eustatius &amp; Saba</t>
  </si>
  <si>
    <t>BES</t>
  </si>
  <si>
    <t>Kralendijk</t>
  </si>
  <si>
    <t>Kaya Frater Odulfinus z/n, Bonaire</t>
  </si>
  <si>
    <t>www.sgbonaire.com</t>
  </si>
  <si>
    <t>+599 717 8120</t>
  </si>
  <si>
    <t>info@sgbonaire.com</t>
  </si>
  <si>
    <t>Dutch (HAVO/VWO), MBO (Vocational)</t>
  </si>
  <si>
    <t>~500+ (Upper Sec est.)</t>
  </si>
  <si>
    <t>Main public secondary/vocational school on Bonaire. Dutch Caribbean.</t>
  </si>
  <si>
    <t>Vocational Tracks</t>
  </si>
  <si>
    <t>Decaan (Dean/Counselor)</t>
  </si>
  <si>
    <t>Research contact.</t>
  </si>
  <si>
    <t>BES-02</t>
  </si>
  <si>
    <t>Gwendoline van Putten School</t>
  </si>
  <si>
    <t>Oranjestad (Statia)</t>
  </si>
  <si>
    <t>GvP School, St. Eustatius</t>
  </si>
  <si>
    <t>gvpschool.com (or FB page)</t>
  </si>
  <si>
    <t>+599 318 2224</t>
  </si>
  <si>
    <t>admin.gvps@gvpschool.com</t>
  </si>
  <si>
    <t>Dutch/Caribbean (CXC, Pre-HAVO/VWO)</t>
  </si>
  <si>
    <t>~150+ (Total est.)</t>
  </si>
  <si>
    <t>Main public secondary/vocational school on Sint Eustatius.</t>
  </si>
  <si>
    <t>CXC Exams</t>
  </si>
  <si>
    <t>Principal / Counselor</t>
  </si>
  <si>
    <t>BES-03</t>
  </si>
  <si>
    <t>Saba Comprehensive School</t>
  </si>
  <si>
    <t>The Bottom (Saba)</t>
  </si>
  <si>
    <t>St. John's, Saba</t>
  </si>
  <si>
    <t>www.learningsaba.com (or FB page)</t>
  </si>
  <si>
    <t>+599 416 3270</t>
  </si>
  <si>
    <t>admin@learningsaba.com</t>
  </si>
  <si>
    <t>Caribbean (CXC), US HS Equiv.</t>
  </si>
  <si>
    <t>~50+ (Total est.)</t>
  </si>
  <si>
    <t>Main public secondary school on Saba. Small island context.</t>
  </si>
  <si>
    <t>IOT-NONE</t>
  </si>
  <si>
    <t>British Indian Ocean Territory</t>
  </si>
  <si>
    <t>IOT</t>
  </si>
  <si>
    <t>Diego Garcia</t>
  </si>
  <si>
    <t>Primarily military personnel. No dedicated high school.</t>
  </si>
  <si>
    <t>No high schools exist.</t>
  </si>
  <si>
    <t>DNK</t>
  </si>
  <si>
    <t>DNK-01</t>
  </si>
  <si>
    <t>Aalborg Katedralskole</t>
  </si>
  <si>
    <t>Denmark</t>
  </si>
  <si>
    <t>Aalborg</t>
  </si>
  <si>
    <t>Sankt Jørgens Gade 5, 9000 Aalborg</t>
  </si>
  <si>
    <t>https://www.caalk.dk</t>
  </si>
  <si>
    <t>info@aalkat-gym.dk</t>
  </si>
  <si>
    <t>Danish National Curriculum</t>
  </si>
  <si>
    <t>Not yet</t>
  </si>
  <si>
    <t>Yes (from old data)</t>
  </si>
  <si>
    <t>Email (C Priority) - TBD Date</t>
  </si>
  <si>
    <t>DNK-02</t>
  </si>
  <si>
    <t>Aarhus International School</t>
  </si>
  <si>
    <t>Aarhus</t>
  </si>
  <si>
    <t>Dalgas Avenue 12, 8000 Aarhus C</t>
  </si>
  <si>
    <t>https://www.bais-aarhus.dk</t>
  </si>
  <si>
    <t>info@ais-aarhus.dk</t>
  </si>
  <si>
    <t>International Curriculum</t>
  </si>
  <si>
    <t>~300</t>
  </si>
  <si>
    <t>The main international school outside of Copenhagen.</t>
  </si>
  <si>
    <t>Responded</t>
  </si>
  <si>
    <t>Follow up (B Priority) - TBD Date</t>
  </si>
  <si>
    <t>DNK-03</t>
  </si>
  <si>
    <t>Aarhus Katedralskole</t>
  </si>
  <si>
    <t>Skolegyde 1, 8000 Aarhus C</t>
  </si>
  <si>
    <t>https://www.caaks.dk</t>
  </si>
  <si>
    <t>kontakt@akat.dk</t>
  </si>
  <si>
    <t>DNK-04</t>
  </si>
  <si>
    <t>Aarhus gymnasium</t>
  </si>
  <si>
    <t>Dollerupvej 2, 8000 Aarhus C</t>
  </si>
  <si>
    <t>https://www.caarg.dk</t>
  </si>
  <si>
    <t>gym@aarhustech.dk</t>
  </si>
  <si>
    <t>DNK-05</t>
  </si>
  <si>
    <t>Birkerød Gymnasium</t>
  </si>
  <si>
    <t>Birkerød</t>
  </si>
  <si>
    <t>Søndervangen 56, 3460 Birkerød</t>
  </si>
  <si>
    <t>https://www.bbirke-gym.dk</t>
  </si>
  <si>
    <t>mail@birke-gym.dk</t>
  </si>
  <si>
    <t>IB Diploma / Danish STX</t>
  </si>
  <si>
    <t>Contacted by Catherine in 2022, and also by Antonia and Linnea in 2024.</t>
  </si>
  <si>
    <t>DNK-06</t>
  </si>
  <si>
    <t>Copenhagen International School</t>
  </si>
  <si>
    <t>Copenhagen</t>
  </si>
  <si>
    <t>Levantkaj 4-14, 2150 Nordhavn</t>
  </si>
  <si>
    <t>https://www.acis.dk</t>
  </si>
  <si>
    <t>info@cis.dk</t>
  </si>
  <si>
    <t>~1,000</t>
  </si>
  <si>
    <t>High-tuition International School - a good target</t>
  </si>
  <si>
    <t>Linnea went there for a fair in April 2025</t>
  </si>
  <si>
    <t>Follow up (A Priority) - TBD Date</t>
  </si>
  <si>
    <t>DNK-07</t>
  </si>
  <si>
    <t>Deutsches Gymnasium Nordschleswig - DGN</t>
  </si>
  <si>
    <t>Aabenraa</t>
  </si>
  <si>
    <t>Grønnevej 19, 6200 Aabenraa</t>
  </si>
  <si>
    <t>https://www.cdgn-aabenraa.dk</t>
  </si>
  <si>
    <t>gym@deutschesgym.dk</t>
  </si>
  <si>
    <t>German Abitur / Danish HF</t>
  </si>
  <si>
    <t>German-Danish focus</t>
  </si>
  <si>
    <t>DNK-08</t>
  </si>
  <si>
    <t>EUC Syd</t>
  </si>
  <si>
    <t>Stegholt 35, 6200 Aabenraa</t>
  </si>
  <si>
    <t>https://www.ceucsyd.dk</t>
  </si>
  <si>
    <t>eucomsyd@eucsyd.dk</t>
  </si>
  <si>
    <t>Danish HTX Curriculum</t>
  </si>
  <si>
    <t>Vocational/Technical Focus</t>
  </si>
  <si>
    <t>DNK-09</t>
  </si>
  <si>
    <t>Esbjerg Gymnasium</t>
  </si>
  <si>
    <t>Esbjerg</t>
  </si>
  <si>
    <t>Spangsbjerg Møllevej 310, 6705 Esbjerg Ø</t>
  </si>
  <si>
    <t>https://www.cesbjerg-gym.dk</t>
  </si>
  <si>
    <t>eg@esbjerggym.dk</t>
  </si>
  <si>
    <t>DNK-10</t>
  </si>
  <si>
    <t>European School Copenhagen</t>
  </si>
  <si>
    <t>Ny Carlsberg Vej 99, 1799 Copenhagen V</t>
  </si>
  <si>
    <t>https://www.aesc.dk</t>
  </si>
  <si>
    <t>admin.escph@kk.dk</t>
  </si>
  <si>
    <t>Linnea went there for a fair in March 2025</t>
  </si>
  <si>
    <t>DNK-11</t>
  </si>
  <si>
    <t>Frederiksberg Gymnasium</t>
  </si>
  <si>
    <t>Frederiksberg</t>
  </si>
  <si>
    <t>Falkoner Plads 2, 2000 Frederiksberg</t>
  </si>
  <si>
    <t>https://www.cfrederiksberggymnasium.dk</t>
  </si>
  <si>
    <t>mail@frederiksberggymnasium.dk</t>
  </si>
  <si>
    <t>DNK-12</t>
  </si>
  <si>
    <t>Gammel Hellerup Gymnasium</t>
  </si>
  <si>
    <t>Hellerup</t>
  </si>
  <si>
    <t>Svanemøllevej 87, 2900 Hellerup</t>
  </si>
  <si>
    <t>https://www.cghg.dk</t>
  </si>
  <si>
    <t>adm@ghg.dk</t>
  </si>
  <si>
    <t>DNK-13</t>
  </si>
  <si>
    <t>Grenaa Gymnasium</t>
  </si>
  <si>
    <t>Grenaa</t>
  </si>
  <si>
    <t>N.P. Josiassensvej 21, 8500 Grenaa</t>
  </si>
  <si>
    <t>https://www.bgrenaa-gym.dk</t>
  </si>
  <si>
    <t>gym@grenaa-gym.dk</t>
  </si>
  <si>
    <t>Email (B Priority) - TBD Date</t>
  </si>
  <si>
    <t>DNK-14</t>
  </si>
  <si>
    <t>Hasseris Gymnasium</t>
  </si>
  <si>
    <t>Hasserisvej 300, 9000 Aalborg</t>
  </si>
  <si>
    <t>https://www.chasseris-gym.dk</t>
  </si>
  <si>
    <t>hg@hasseris-gym.dk</t>
  </si>
  <si>
    <t>DNK-15</t>
  </si>
  <si>
    <t>Herlufsholm School</t>
  </si>
  <si>
    <t>Næstved</t>
  </si>
  <si>
    <t>Herlufsholm Allé 170, 4700 Næstved</t>
  </si>
  <si>
    <t>https://www.aherlufsholm.dk</t>
  </si>
  <si>
    <t>post@herlufsholm.dk</t>
  </si>
  <si>
    <t>IB Diploma / Danish National</t>
  </si>
  <si>
    <t>Boarding School</t>
  </si>
  <si>
    <t>DNK-16</t>
  </si>
  <si>
    <t>Ikast-Brande Gymnasium</t>
  </si>
  <si>
    <t>Ikast</t>
  </si>
  <si>
    <t>Bøgildvej 6, 7430 Ikast</t>
  </si>
  <si>
    <t>https://www.cikast-brande-gym.dk</t>
  </si>
  <si>
    <t>ig@ikast-gym.dk</t>
  </si>
  <si>
    <t>DNK-17</t>
  </si>
  <si>
    <t>Ingrid Jespersens Gymnasieskole</t>
  </si>
  <si>
    <t>Nordre Frihavnsgade 9-11, 2100 Copenhagen Ø</t>
  </si>
  <si>
    <t>https://www.cingrid-jespersens-gym.dk</t>
  </si>
  <si>
    <t>gymnasiet@ingrid-jespersens-gym.dk</t>
  </si>
  <si>
    <t>DNK-18</t>
  </si>
  <si>
    <t>International School of Hellerup</t>
  </si>
  <si>
    <t>Rygårds Allé 131, 2900 Hellerup</t>
  </si>
  <si>
    <t>https://www.bishellerup.dk</t>
  </si>
  <si>
    <t>info@ish.dk</t>
  </si>
  <si>
    <t>DNK-19</t>
  </si>
  <si>
    <t>Kolding Gymnasium, HF-kursus</t>
  </si>
  <si>
    <t>Kolding</t>
  </si>
  <si>
    <t>Skovvangen 10, 6000 Kolding</t>
  </si>
  <si>
    <t>https://www.ckolding-gym.dk</t>
  </si>
  <si>
    <t>kg@kolding-gym.dk</t>
  </si>
  <si>
    <t>DNK-20</t>
  </si>
  <si>
    <t>Køge Gymnasium</t>
  </si>
  <si>
    <t>Køge</t>
  </si>
  <si>
    <t>Gymnasievej 4, 4600 Køge</t>
  </si>
  <si>
    <t>https://www.ckoege-gymnasium.dk</t>
  </si>
  <si>
    <t>info@koegegym.dk</t>
  </si>
  <si>
    <t>DNK-21</t>
  </si>
  <si>
    <t>Langkaer Gymnasium &amp; HF</t>
  </si>
  <si>
    <t>Tilst</t>
  </si>
  <si>
    <t>Kileparken 25, 8381 Tilst</t>
  </si>
  <si>
    <t>https://www.clangkaer.dk</t>
  </si>
  <si>
    <t>lg@aarhustech.dk</t>
  </si>
  <si>
    <t>DNK-22</t>
  </si>
  <si>
    <t>Nordsjællands Grundskole &amp; Gymnasium - NIS</t>
  </si>
  <si>
    <t>Hørsholm</t>
  </si>
  <si>
    <t>Christianshusvej 16, 2970 Hørsholm</t>
  </si>
  <si>
    <t>https://www.bnis-edu.dk</t>
  </si>
  <si>
    <t>nis@ngg.dk</t>
  </si>
  <si>
    <t>DNK-23</t>
  </si>
  <si>
    <t>Nørre Gymnasium</t>
  </si>
  <si>
    <t>Brønshøj</t>
  </si>
  <si>
    <t>Mørkhøjvej 78, 2700 Brønshøj</t>
  </si>
  <si>
    <t>https://www.cnørregym.dk</t>
  </si>
  <si>
    <t>mail@nrgym.dk</t>
  </si>
  <si>
    <t>Contacted by Catherine in 2022, and also by Antonia in 2024.</t>
  </si>
  <si>
    <t>DNK-24</t>
  </si>
  <si>
    <t>Nyborg Gymnasium</t>
  </si>
  <si>
    <t>Nyborg</t>
  </si>
  <si>
    <t>Skolebakken 13, 5800 Nyborg</t>
  </si>
  <si>
    <t>https://www.cnyborg-gym.dk</t>
  </si>
  <si>
    <t>kontor@nyborg-gym.dk</t>
  </si>
  <si>
    <t>DNK-25</t>
  </si>
  <si>
    <t>Prins Henriks skole</t>
  </si>
  <si>
    <t>Rolighedsvej 39, 1868 Frederiksberg C</t>
  </si>
  <si>
    <t>https://www.befb.dk</t>
  </si>
  <si>
    <t>secondaire@lfrp.dk</t>
  </si>
  <si>
    <t>French Baccalaureate</t>
  </si>
  <si>
    <t>French-Danish focus</t>
  </si>
  <si>
    <t>DNK-26</t>
  </si>
  <si>
    <t>Rødkilde Gymnasium</t>
  </si>
  <si>
    <t>Vejle</t>
  </si>
  <si>
    <t>Rødkildevej 42A, 7100 Vejle</t>
  </si>
  <si>
    <t>https://www.croedkilde-gym.dk</t>
  </si>
  <si>
    <t>adm@roedkilde-gym.dk</t>
  </si>
  <si>
    <t>DNK-27</t>
  </si>
  <si>
    <t>Rygaards International School</t>
  </si>
  <si>
    <t>Bernstorffsvej 54, 2900 Hellerup</t>
  </si>
  <si>
    <t>https://www.brygaards.com</t>
  </si>
  <si>
    <t>office@rygaards.com</t>
  </si>
  <si>
    <t>~500</t>
  </si>
  <si>
    <t>Large international school. Close proximity to CIS.</t>
  </si>
  <si>
    <t>DNK-28</t>
  </si>
  <si>
    <t>Sankt Petri Skole</t>
  </si>
  <si>
    <t>Larslejstræde 5, 1451 Copenhagen K</t>
  </si>
  <si>
    <t>https://www.bsanktpetriskole.dk</t>
  </si>
  <si>
    <t>mail@sanktpri-skole.dk</t>
  </si>
  <si>
    <t>~200</t>
  </si>
  <si>
    <t>Historical, small school with a mix of international and national students.</t>
  </si>
  <si>
    <t>DNK-29</t>
  </si>
  <si>
    <t>Stenhus Gymnasium</t>
  </si>
  <si>
    <t>Holbæk</t>
  </si>
  <si>
    <t>Stenhusvej 20, 4300 Holbæk</t>
  </si>
  <si>
    <t>https://www.cstenhus-gym.dk</t>
  </si>
  <si>
    <t>kontakt@stenhus-gym.dk</t>
  </si>
  <si>
    <t>DNK-30</t>
  </si>
  <si>
    <t>Struer Statsgymnasium</t>
  </si>
  <si>
    <t>Struer</t>
  </si>
  <si>
    <t>Jyllandsgade 2, 7600 Struer</t>
  </si>
  <si>
    <t>https://www.cstruer-statsgymnasium.dk</t>
  </si>
  <si>
    <t>adm@strugym.dk</t>
  </si>
  <si>
    <t>DNK-31</t>
  </si>
  <si>
    <t>Vejle Tekniske Gymnasium - VTG</t>
  </si>
  <si>
    <t>Jernbanegade 28, 7100 Vejle</t>
  </si>
  <si>
    <t>https://www.cvtg.dk</t>
  </si>
  <si>
    <t>vtg@vtg.dk</t>
  </si>
  <si>
    <t>Technical Focus (HTX)</t>
  </si>
  <si>
    <t>DNK-32</t>
  </si>
  <si>
    <t>Viborg Katedralskole</t>
  </si>
  <si>
    <t>Viborg</t>
  </si>
  <si>
    <t>Gl. Skivevej 2, 8800 Viborg</t>
  </si>
  <si>
    <t>https://www.cviborgkatedralskole.dk</t>
  </si>
  <si>
    <t>vibkat@vibkat.dk</t>
  </si>
  <si>
    <t>FRO-01</t>
  </si>
  <si>
    <t>Glasir - Tórshavn College</t>
  </si>
  <si>
    <t>Faroe Islands</t>
  </si>
  <si>
    <t>FRO</t>
  </si>
  <si>
    <t>Tórshavn</t>
  </si>
  <si>
    <t>Jónas Broncks Gøta 25, 100 Tórshavn</t>
  </si>
  <si>
    <t>https://www.glasir.fo/</t>
  </si>
  <si>
    <t>+298 616 600</t>
  </si>
  <si>
    <t>post@glasir.fo</t>
  </si>
  <si>
    <t>Faroese/Danish Upper Secondary (Gymnasium, HF, Vocational)</t>
  </si>
  <si>
    <t>~1,500-1,750 (Total Students)</t>
  </si>
  <si>
    <t>Largest combined educational center in the Faroe Islands.</t>
  </si>
  <si>
    <t>0 DKK (Free)</t>
  </si>
  <si>
    <t>Combines Gymnasium, Technical, and Business colleges.</t>
  </si>
  <si>
    <t>Email (A Priority)</t>
  </si>
  <si>
    <t>TBD Date</t>
  </si>
  <si>
    <t>Start with this top-priority, large school.</t>
  </si>
  <si>
    <t>New Entry</t>
  </si>
  <si>
    <t>Email (A Priority) - TBD Date</t>
  </si>
  <si>
    <t>FRO-02</t>
  </si>
  <si>
    <t>High School of Eysturoy</t>
  </si>
  <si>
    <t>Kambsdalur</t>
  </si>
  <si>
    <t>Kambsdalur 4, 530 Fuglafjørður</t>
  </si>
  <si>
    <t>https://www.midnam.fo/</t>
  </si>
  <si>
    <t>+298 471 200</t>
  </si>
  <si>
    <t>midnam@midnam.fo</t>
  </si>
  <si>
    <t>Faroese/Danish Upper Secondary (Gymnasium, HF)</t>
  </si>
  <si>
    <t>(Not Public)</t>
  </si>
  <si>
    <t>Regional high school in the East.</t>
  </si>
  <si>
    <t>Regional General Upper Secondary Education (STX/HF)</t>
  </si>
  <si>
    <t>Email (B Priority)</t>
  </si>
  <si>
    <t>Follow up after FRO-01.</t>
  </si>
  <si>
    <t>FRO-03</t>
  </si>
  <si>
    <t>High School of Suðuroy</t>
  </si>
  <si>
    <t>Porkeri</t>
  </si>
  <si>
    <t>Við Ósánna 5, 950 Porkeri</t>
  </si>
  <si>
    <t>+298 610 600</t>
  </si>
  <si>
    <t>Regional high school in the South.</t>
  </si>
  <si>
    <t>FRO-04</t>
  </si>
  <si>
    <t>Technical College of the Faroe Islands</t>
  </si>
  <si>
    <t>Klaksvík</t>
  </si>
  <si>
    <t>Mýrivegur 2, 700 Klaksvík</t>
  </si>
  <si>
    <t>https://www.tsk.fo/</t>
  </si>
  <si>
    <t>+298 418 000</t>
  </si>
  <si>
    <t>tsk@tsk.fo</t>
  </si>
  <si>
    <t>Faroese/Danish Vocational and Technical Curriculum</t>
  </si>
  <si>
    <t>Focus on technical and maritime trades.</t>
  </si>
  <si>
    <t>Strong Vocational/Technical Focus.</t>
  </si>
  <si>
    <t>Email (C Priority)</t>
  </si>
  <si>
    <t>C-priority due to strong vocational focus.</t>
  </si>
  <si>
    <t>FIN-01</t>
  </si>
  <si>
    <t>Ressun lukio</t>
  </si>
  <si>
    <t>Finland</t>
  </si>
  <si>
    <t>FIN</t>
  </si>
  <si>
    <t>Helsinki</t>
  </si>
  <si>
    <t>https://www.hel.fi/ressunlukio</t>
  </si>
  <si>
    <t>ressulib@edu.hel.fi</t>
  </si>
  <si>
    <t>IB Diploma / Finnish National</t>
  </si>
  <si>
    <t>~900</t>
  </si>
  <si>
    <t>Highly selective public school, strong IB section.</t>
  </si>
  <si>
    <t>Free</t>
  </si>
  <si>
    <t>IB Diploma focus</t>
  </si>
  <si>
    <t>FIN-02</t>
  </si>
  <si>
    <t>Helsingin Suomalainen Yhteiskoulu (SYK)</t>
  </si>
  <si>
    <t>Isonnevantie 8</t>
  </si>
  <si>
    <t>https://www.syk.fi</t>
  </si>
  <si>
    <t>Private school (State-funded) with an IB stream.</t>
  </si>
  <si>
    <t>FIN-03</t>
  </si>
  <si>
    <t>Etelä-Tapiolan lukio</t>
  </si>
  <si>
    <t>Espoo</t>
  </si>
  <si>
    <t>Ahertajantie 5</t>
  </si>
  <si>
    <t>https://www.etela-tapiolanlukio.fi</t>
  </si>
  <si>
    <t>Known for economics, business, and strong IB program.</t>
  </si>
  <si>
    <t>FIN-04</t>
  </si>
  <si>
    <t>Gymnasiet Grankulla samskola</t>
  </si>
  <si>
    <t>Kauniainen</t>
  </si>
  <si>
    <t>https://www.sam.fi/</t>
  </si>
  <si>
    <t>IB Diploma / Swedish National</t>
  </si>
  <si>
    <t>Swedish-speaking school with an IB stream.</t>
  </si>
  <si>
    <t>Swedish/IB focus</t>
  </si>
  <si>
    <t>FIN-05</t>
  </si>
  <si>
    <t>Gymnasiet Lärkan</t>
  </si>
  <si>
    <t>https://www.larkan.fi/</t>
  </si>
  <si>
    <t>larkan@edu.hel.fi</t>
  </si>
  <si>
    <t>Swedish National Curriculum</t>
  </si>
  <si>
    <t>Swedish-speaking school in Helsinki, strong in science.</t>
  </si>
  <si>
    <t>Swedish language focus</t>
  </si>
  <si>
    <t>FIN-06</t>
  </si>
  <si>
    <t>Oulun Lyseon lukio</t>
  </si>
  <si>
    <t>Oulu</t>
  </si>
  <si>
    <t>https://www.ouka.fi/oulunlyseonlukio</t>
  </si>
  <si>
    <t>Highly respected regional school with an IB program.</t>
  </si>
  <si>
    <t>FIN-07</t>
  </si>
  <si>
    <t>Tampereen lyseon lukio</t>
  </si>
  <si>
    <t>Tampere</t>
  </si>
  <si>
    <t>https://www.tampere.fi/tlyseo</t>
  </si>
  <si>
    <t>High school with an established IB stream in Tampere.</t>
  </si>
  <si>
    <t>FIN-08</t>
  </si>
  <si>
    <t>Kuopion Lyseon Lukio</t>
  </si>
  <si>
    <t>Kuopio</t>
  </si>
  <si>
    <t>https://lyseo.kuopio.fi/</t>
  </si>
  <si>
    <t>Highly regarded regional school with an IB stream.</t>
  </si>
  <si>
    <t>FIN-09</t>
  </si>
  <si>
    <t>Jyväskylän Lyseon Lukio</t>
  </si>
  <si>
    <t>Jyväskylä</t>
  </si>
  <si>
    <t>https://www.jyvaskyla.fi/lyseonlukio</t>
  </si>
  <si>
    <t>Historic regional school with an IB stream.</t>
  </si>
  <si>
    <t>FIN-10</t>
  </si>
  <si>
    <t>Turun normaalikoulu</t>
  </si>
  <si>
    <t>Turku</t>
  </si>
  <si>
    <t>https://www.utu.fi/normaalikoulu</t>
  </si>
  <si>
    <t>Teacher training school with an IB program.</t>
  </si>
  <si>
    <t>FIN-11</t>
  </si>
  <si>
    <t>Katedralskolan i Åbo</t>
  </si>
  <si>
    <t>https://www.katedralskolan.fi/</t>
  </si>
  <si>
    <t>Swedish-speaking school in Turku.</t>
  </si>
  <si>
    <t>FIN-12</t>
  </si>
  <si>
    <t>Mattlidens Gymnasium</t>
  </si>
  <si>
    <t>Mattliden 1</t>
  </si>
  <si>
    <t>https://www.mattliden.fi</t>
  </si>
  <si>
    <t>~640</t>
  </si>
  <si>
    <t>Large Swedish-speaking school with an IB section.</t>
  </si>
  <si>
    <t>IB/Swedish focus</t>
  </si>
  <si>
    <t>FIN-13</t>
  </si>
  <si>
    <t>Lahden lukio Gaudia</t>
  </si>
  <si>
    <t>Lahti</t>
  </si>
  <si>
    <t>https://www.lahti.fi/koulutus-ja-opiskelu/lahden-lukio-gaudia</t>
  </si>
  <si>
    <t>Upper secondary school in Lahti with an IB stream.</t>
  </si>
  <si>
    <t>FIN-14</t>
  </si>
  <si>
    <t>Joensuun Lyseon Lukio</t>
  </si>
  <si>
    <t>Joensuu</t>
  </si>
  <si>
    <t>https://www.joensuu.fi/lyseonlukio</t>
  </si>
  <si>
    <t>Regional school with an international class/IB program.</t>
  </si>
  <si>
    <t>FIN-15</t>
  </si>
  <si>
    <t>Lyseonpuiston lukio</t>
  </si>
  <si>
    <t>Rovaniemi</t>
  </si>
  <si>
    <t>https://www.rovaniemi.fi/lyseonpuistonlukio</t>
  </si>
  <si>
    <t>Northernmost IB school.</t>
  </si>
  <si>
    <t>FIN-16</t>
  </si>
  <si>
    <t>Tikkurilan Lukio</t>
  </si>
  <si>
    <t>Vantaa</t>
  </si>
  <si>
    <t>https://www.vantaa.fi/tikkurilanlukio</t>
  </si>
  <si>
    <t>Known for its diverse profile and IB program.</t>
  </si>
  <si>
    <t>FIN-17</t>
  </si>
  <si>
    <t>Tampereen yliopiston normaalikoulu</t>
  </si>
  <si>
    <t>https://www.tuni.fi/normaalikoulu</t>
  </si>
  <si>
    <t>Finnish National Curriculum</t>
  </si>
  <si>
    <t>Teacher training school (non-IB).</t>
  </si>
  <si>
    <t>Teacher Training focus</t>
  </si>
  <si>
    <t>FIN-18</t>
  </si>
  <si>
    <t>Vasa Övningsskola</t>
  </si>
  <si>
    <t>Vaasa</t>
  </si>
  <si>
    <t>https://www.abo.fi/vos</t>
  </si>
  <si>
    <t>Teacher training school (Swedish-speaking).</t>
  </si>
  <si>
    <t>Swedish/Teacher Training</t>
  </si>
  <si>
    <t>FIN-19</t>
  </si>
  <si>
    <t>Munkkiniemen yhteiskoulu (MYK)</t>
  </si>
  <si>
    <t>https://www.munkkiniemenyhteiskoulu.fi/</t>
  </si>
  <si>
    <t>Highly rated private school (State-funded) in Helsinki.</t>
  </si>
  <si>
    <t>FIN-20</t>
  </si>
  <si>
    <t>Puolalanmäen lukio</t>
  </si>
  <si>
    <t>https://www.turku.fi/puolalanmaki</t>
  </si>
  <si>
    <t>Known for its music and arts specialization.</t>
  </si>
  <si>
    <t>Music and Arts focus</t>
  </si>
  <si>
    <t>FIN-21</t>
  </si>
  <si>
    <t>International School of Helsinki (ISH)</t>
  </si>
  <si>
    <t>Selkämerenkatu 11</t>
  </si>
  <si>
    <t>https://www.ish.edu.fi/</t>
  </si>
  <si>
    <t>High-tuition, fully international, top target.</t>
  </si>
  <si>
    <t>High</t>
  </si>
  <si>
    <t>NEASC/CIS Accredited</t>
  </si>
  <si>
    <t>FIN-22</t>
  </si>
  <si>
    <t>European School of Helsinki (ESH)</t>
  </si>
  <si>
    <t>Bulevardi 18</t>
  </si>
  <si>
    <t>https://www.esh.fi</t>
  </si>
  <si>
    <t>EU-affiliated, high-potential target.</t>
  </si>
  <si>
    <t>Medium</t>
  </si>
  <si>
    <t>EU-Curriculum</t>
  </si>
  <si>
    <t>FIN-23</t>
  </si>
  <si>
    <t>Deutsche Schule Helsinki (DSH)</t>
  </si>
  <si>
    <t>Malminkatu 14</t>
  </si>
  <si>
    <t>https://www.dsh.fi</t>
  </si>
  <si>
    <t>info@dsh.fi</t>
  </si>
  <si>
    <t>German Abitur / Finnish National</t>
  </si>
  <si>
    <t>German-language education leading to Abitur.</t>
  </si>
  <si>
    <t>German-language focus</t>
  </si>
  <si>
    <t>FIN-24</t>
  </si>
  <si>
    <t>The English School of Helsinki</t>
  </si>
  <si>
    <t>Mäntytie 14</t>
  </si>
  <si>
    <t>https://www.englanti.fi/</t>
  </si>
  <si>
    <t>Finnish National Curriculum (English)</t>
  </si>
  <si>
    <t>Private English-speaking school.</t>
  </si>
  <si>
    <t>English/Finnish Curriculum</t>
  </si>
  <si>
    <t>FIN-25</t>
  </si>
  <si>
    <t>Helsingin kielilukio</t>
  </si>
  <si>
    <t>https://www.hel.fi/kielilukio</t>
  </si>
  <si>
    <t>Known for its strong language specialization.</t>
  </si>
  <si>
    <t>Language specialization</t>
  </si>
  <si>
    <t>FRA-01</t>
  </si>
  <si>
    <t>Lycée international Charles-de-Gaulle</t>
  </si>
  <si>
    <t>France</t>
  </si>
  <si>
    <t>FRA</t>
  </si>
  <si>
    <t>Dijon</t>
  </si>
  <si>
    <t>2 Rue du Lycée, 21000 Dijon</t>
  </si>
  <si>
    <t>https://lyc-international-dijon.fr</t>
  </si>
  <si>
    <t>+33 3 80 50 11 50</t>
  </si>
  <si>
    <t>ce.0211155g@ac-dijon.fr</t>
  </si>
  <si>
    <t>French Bac, OIB, BFI Sections</t>
  </si>
  <si>
    <t>~500 (Lycée)</t>
  </si>
  <si>
    <t>Public School</t>
  </si>
  <si>
    <t>Multiple international sections</t>
  </si>
  <si>
    <t>Proviseur/Head</t>
  </si>
  <si>
    <t>Proviseur</t>
  </si>
  <si>
    <t>No previous contact record found.</t>
  </si>
  <si>
    <t>N/A - User Defined</t>
  </si>
  <si>
    <t>No (new school)</t>
  </si>
  <si>
    <t>Send initial outreach email by mid-Nov 2025</t>
  </si>
  <si>
    <t>FRA-02</t>
  </si>
  <si>
    <t>Lycée international Georges-Duby</t>
  </si>
  <si>
    <t>Luynes</t>
  </si>
  <si>
    <t>200 Rue Georges Duby, 13080 Luynes</t>
  </si>
  <si>
    <t>https://www.lyc-luynes.ac-aix-marseille.fr</t>
  </si>
  <si>
    <t>+33 4 42 60 86 00</t>
  </si>
  <si>
    <t>secr.0133525L@ac-aix-marseille.fr</t>
  </si>
  <si>
    <t>~1000 (Lycée)</t>
  </si>
  <si>
    <t>Multiple international sections, strong academic focus</t>
  </si>
  <si>
    <t>Agessia Duby / Proviseur</t>
  </si>
  <si>
    <t>Not specified / Proviseur</t>
  </si>
  <si>
    <t>Event</t>
  </si>
  <si>
    <t>Contacted by Linnea (Jan 7, 2025): Emailed secr.0133525L@ac-aix-marseille.fr. Outcome (Jan 11, 2025): School responded and invited Minerva to a workshop (Section Britannique), added to Linnea's travel calendar. Feb 6 visit cancelled by school (Agessia Duby) as not a good fit.</t>
  </si>
  <si>
    <t>Re-evaluate fit for FY27 travel planning</t>
  </si>
  <si>
    <t>FRA-03</t>
  </si>
  <si>
    <t>Lycée international de Ferney-Voltaire</t>
  </si>
  <si>
    <t>Ferney-Voltaire</t>
  </si>
  <si>
    <t>1 Avenue des Sports, 01210 Ferney-Voltaire</t>
  </si>
  <si>
    <t>https://cite-scolaire-internationale-ferney-voltaire.fr</t>
  </si>
  <si>
    <t>+33 4 50 40 00 00</t>
  </si>
  <si>
    <t>ce.0010014v@ac-lyon.fr</t>
  </si>
  <si>
    <t>French Bac, OIB, IB Diploma</t>
  </si>
  <si>
    <t>~1500 (Lycée)</t>
  </si>
  <si>
    <t>Public School, near Geneva</t>
  </si>
  <si>
    <t>Large school, diverse student body, IB &amp; OIB options</t>
  </si>
  <si>
    <t>FRA-04</t>
  </si>
  <si>
    <t>Lycée François-Ier (Fontainebleau)</t>
  </si>
  <si>
    <t>Fontainebleau</t>
  </si>
  <si>
    <t>15 Rue Guérin, 77300 Fontainebleau</t>
  </si>
  <si>
    <t>https://lyceefrancois1.net</t>
  </si>
  <si>
    <t>+33 1 60 74 58 60</t>
  </si>
  <si>
    <t>ce.0770921a@ac-creteil.fr</t>
  </si>
  <si>
    <t>Yes (Sections)</t>
  </si>
  <si>
    <t>French Bac, Sec. Européennes, Sec. Int (Anglophone)</t>
  </si>
  <si>
    <t>Anglophone section, historic school</t>
  </si>
  <si>
    <t>FRA-05</t>
  </si>
  <si>
    <t>Lycée international de l'Est parisien (LİEP)</t>
  </si>
  <si>
    <t>Noisy-le-Grand</t>
  </si>
  <si>
    <t>1 Prom. Marco Polo, 93160 Noisy-le-Grand</t>
  </si>
  <si>
    <t>https://lyceeinternationaldestparisien.fr</t>
  </si>
  <si>
    <t>+33 1 43 04 77 77</t>
  </si>
  <si>
    <t>ce.0932467b@ac-creteil.fr</t>
  </si>
  <si>
    <t>French Bac, BFI (American, Arabic, Brazilian, Chinese, Portuguese)</t>
  </si>
  <si>
    <t>Multiple BFI sections</t>
  </si>
  <si>
    <t>FRA-06</t>
  </si>
  <si>
    <t>Lycée international des Pontonniers</t>
  </si>
  <si>
    <t>Strasbourg</t>
  </si>
  <si>
    <t>1 Rue des Pontonniers, 67000 Strasbourg</t>
  </si>
  <si>
    <t>https://www.lycee-pontonniers.fr</t>
  </si>
  <si>
    <t>+33 3 88 14 43 00</t>
  </si>
  <si>
    <t>ce.0670081t@ac-strasbourg.fr</t>
  </si>
  <si>
    <t>French Bac, OIB, Abibac</t>
  </si>
  <si>
    <t>Multiple OIB sections, Abibac</t>
  </si>
  <si>
    <t>FRA-07</t>
  </si>
  <si>
    <t>Cité scolaire internationale (Lyon)</t>
  </si>
  <si>
    <t>Lyon</t>
  </si>
  <si>
    <t>2 Place de Montréal, 69007 Lyon</t>
  </si>
  <si>
    <t>https://csi-lyon.fr</t>
  </si>
  <si>
    <t>+33 4 78 69 60 06</t>
  </si>
  <si>
    <t>ce.0690076c@ac-lyon.fr</t>
  </si>
  <si>
    <t>French Bac, OIB (multiple languages)</t>
  </si>
  <si>
    <t>~1200 (Total)</t>
  </si>
  <si>
    <t>Many language sections</t>
  </si>
  <si>
    <t>France.xlsx (Schools tab): Listed as ""École cité scolaire internationale"". Status: NO_RECIPIENT. No contact details. Linnea did NOT email in Jan 2025.</t>
  </si>
  <si>
    <t>FRA-08</t>
  </si>
  <si>
    <t>Lycée international Montebello</t>
  </si>
  <si>
    <t>Lille</t>
  </si>
  <si>
    <t>196 Boulevard Montebello, 59000 Lille</t>
  </si>
  <si>
    <t>https://montebello.enthdf.fr</t>
  </si>
  <si>
    <t>+33 3 20 54 98 87</t>
  </si>
  <si>
    <t>ce.0590125u@ac-lille.fr</t>
  </si>
  <si>
    <t>French Bac, OIB (British, Spanish)</t>
  </si>
  <si>
    <t>British and Spanish OIB sections</t>
  </si>
  <si>
    <t>France.xlsx (Schools tab): Listed. Status: NO_RECIPIENT. No contact details. Linnea did NOT email in Jan 2025.</t>
  </si>
  <si>
    <t>FRA-09</t>
  </si>
  <si>
    <t>Lycée international de Saint-Germain-en-Laye</t>
  </si>
  <si>
    <t>Saint-Germain-en-Laye</t>
  </si>
  <si>
    <t>2bis Rue du Fer À Cheval, 78100 Saint-Germain-en-Laye</t>
  </si>
  <si>
    <t>https://www.lycee-international.ac-versailles.fr</t>
  </si>
  <si>
    <t>+33 1 39 10 94 11</t>
  </si>
  <si>
    <t>ce.0782315p@ac-versailles.fr</t>
  </si>
  <si>
    <t>French Bac, OIB (14 National Sections)</t>
  </si>
  <si>
    <t>Not Found</t>
  </si>
  <si>
    <t>Highly prestigious, numerous national sections</t>
  </si>
  <si>
    <t>Prioritize initial outreach email by early Nov 2025</t>
  </si>
  <si>
    <t>FRA-10</t>
  </si>
  <si>
    <t>Lycée international Lucie-Aubrac</t>
  </si>
  <si>
    <t>Courbevoie</t>
  </si>
  <si>
    <t>17 Rue Victor Hugo, 92400 Courbevoie</t>
  </si>
  <si>
    <t>https://lyc-aubrac-courbevoie.ac-versailles.fr</t>
  </si>
  <si>
    <t>+33 1 41 16 09 60</t>
  </si>
  <si>
    <t>ce.0922883g@ac-versailles.fr</t>
  </si>
  <si>
    <t>French Bac, BFI (British, Arabic, Chinese)</t>
  </si>
  <si>
    <t>~800 (Lycée)</t>
  </si>
  <si>
    <t>Offers multiple BFI sections</t>
  </si>
  <si>
    <t>FRA-11</t>
  </si>
  <si>
    <t>Centre international de Valbonne (CIV)</t>
  </si>
  <si>
    <t>Valbonne</t>
  </si>
  <si>
    <t>190 Rue Frédéric Mistral, 06560 Valbonne</t>
  </si>
  <si>
    <t>https://civfrance.fr</t>
  </si>
  <si>
    <t>+33 4 92 96 52 00</t>
  </si>
  <si>
    <t>ce.0061642c@ac-nice.fr</t>
  </si>
  <si>
    <t>~1200 (Lycée)</t>
  </si>
  <si>
    <t>Offers both OIB and IB Diploma, technology park location</t>
  </si>
  <si>
    <t>Contacted by Linnea (Jan 7, 2025): Emailed American section (bounced) and general email ce.0061642c@ac-nice.fr. France.xlsx: Listed, Status: NO_RECIPIENT.</t>
  </si>
  <si>
    <t>Follow up on Jan 7 email by Nov 10, 2025</t>
  </si>
  <si>
    <t>FRA-12</t>
  </si>
  <si>
    <t>EIB Victor Hugo School</t>
  </si>
  <si>
    <t>Paris</t>
  </si>
  <si>
    <t>23 Rue de Cronstadt, 75015 Paris</t>
  </si>
  <si>
    <t>https://www.eibparis.com/en/victor-hugo-school</t>
  </si>
  <si>
    <t>+33 1 45 32 32 00</t>
  </si>
  <si>
    <t>admissions@eibparis.fr</t>
  </si>
  <si>
    <t>IB Diploma, French Brevet</t>
  </si>
  <si>
    <t>Private, International</t>
  </si>
  <si>
    <t>IB focus, part of EIB group</t>
  </si>
  <si>
    <t>Head of School</t>
  </si>
  <si>
    <t>FRA-13</t>
  </si>
  <si>
    <t>American School of Paris (ASP)</t>
  </si>
  <si>
    <t>Saint-Cloud</t>
  </si>
  <si>
    <t>41 Rue Pasteur, 92210 Saint-Cloud</t>
  </si>
  <si>
    <t>https://www.asparis.org</t>
  </si>
  <si>
    <t>+33 1 41 12 82 82</t>
  </si>
  <si>
    <t>admissions@asparis.fr</t>
  </si>
  <si>
    <t>US Diploma, IB Diploma, AP</t>
  </si>
  <si>
    <t>~350 (HS)</t>
  </si>
  <si>
    <t>Private, American Expats</t>
  </si>
  <si>
    <t>Strong US curriculum focus, offers IB &amp; AP</t>
  </si>
  <si>
    <t>Previous contact (Dec 2024 or earlier): France.xlsx shows email sent to admissions@asparis.fr by previous contact (likely Lucian), status EMAIL_OPENED. Notes: ""Our mission..."". Linnea did NOT email in Jan 2025.</t>
  </si>
  <si>
    <t>Send targeted outreach email (Linnea) by early Nov 2025</t>
  </si>
  <si>
    <t>FRA-14</t>
  </si>
  <si>
    <t>International School of Paris (ISP)</t>
  </si>
  <si>
    <t>6 Rue Beethoven, 75016 Paris</t>
  </si>
  <si>
    <t>https://www.isparis.edu</t>
  </si>
  <si>
    <t>+33 1 42 24 09 54</t>
  </si>
  <si>
    <t>admissions@isparis.edu</t>
  </si>
  <si>
    <t>IB World School</t>
  </si>
  <si>
    <t>~200 (HS)</t>
  </si>
  <si>
    <t>Private, Expat Community</t>
  </si>
  <si>
    <t>Full IB continuum school</t>
  </si>
  <si>
    <t>Stephanie Coroso / Diane Hopkinson</t>
  </si>
  <si>
    <t>Executive Assistant / University Counselor</t>
  </si>
  <si>
    <t>scorso@isparis.edu</t>
  </si>
  <si>
    <t>Previous contact (Dec 2024 or earlier): France.xlsx shows Lucian contacted Stephanie Coroso (scorso@isparis.edu), status EMAIL_OPENED. Notes mention Diane Hopkinson &amp; Evangeline Amellal (CIS Fair Jun 2021). Linnea did NOT email in Jan 2025.</t>
  </si>
  <si>
    <t>Email Diane Hopkinson (Counselor) by early Nov 2025</t>
  </si>
  <si>
    <t>FRA-15</t>
  </si>
  <si>
    <t>British School of Paris (BSP)</t>
  </si>
  <si>
    <t>Croissy-sur-Seine</t>
  </si>
  <si>
    <t>38 Quai de l'Ecluse, 78290 Croissy-sur-Seine</t>
  </si>
  <si>
    <t>https://www.britishschool.fr</t>
  </si>
  <si>
    <t>+33 1 34 80 45 90</t>
  </si>
  <si>
    <t>admissions@britishschool.fr</t>
  </si>
  <si>
    <t>UK Curriculum (GCSE, A-Levels)</t>
  </si>
  <si>
    <t>~300 (Senior)</t>
  </si>
  <si>
    <t>Private, British Expats</t>
  </si>
  <si>
    <t>Strong UK curriculum focus</t>
  </si>
  <si>
    <t>info@britishschool.fr</t>
  </si>
  <si>
    <t>Previous contact (Dec 2024 or earlier): France.xlsx shows email sent to info@britishschool.fr by previous contact, status EMAIL_OPENED. Notes: ""No IB. Moto:..."". Linnea did NOT email in Jan 2025.</t>
  </si>
  <si>
    <t>FRA-16</t>
  </si>
  <si>
    <t>Ermitage International School of France</t>
  </si>
  <si>
    <t>Maisons-Laffitte</t>
  </si>
  <si>
    <t>46 Avenue Eglé, 78600 Maisons-Laffitte</t>
  </si>
  <si>
    <t>https://www.ermitage.fr</t>
  </si>
  <si>
    <t>+33 1 39 62 04 02</t>
  </si>
  <si>
    <t>admissions@ermitage.fr</t>
  </si>
  <si>
    <t>French Bac, IB Diploma</t>
  </si>
  <si>
    <t>~400 (Upper)</t>
  </si>
  <si>
    <t>Private, Boarding Option</t>
  </si>
  <si>
    <t>Offers both French Bac and IB DP</t>
  </si>
  <si>
    <t>Send initial outreach email by early Nov 2025</t>
  </si>
  <si>
    <t>FRA-17</t>
  </si>
  <si>
    <t>Marymount International School, Paris</t>
  </si>
  <si>
    <t>Neuilly-sur-Seine</t>
  </si>
  <si>
    <t>72 Boulevard de la Saussaye, 92200 Neuilly-sur-Seine</t>
  </si>
  <si>
    <t>D</t>
  </si>
  <si>
    <t>https://www.marymount.fr</t>
  </si>
  <si>
    <t>+33 1 46 24 10 51</t>
  </si>
  <si>
    <t>admissions@marymount.fr</t>
  </si>
  <si>
    <t>US Curriculum (K-8)</t>
  </si>
  <si>
    <t>Small (Primarily K-8)</t>
  </si>
  <si>
    <t>Private, Catholic, Int'l</t>
  </si>
  <si>
    <t>Primarily Elementary/Middle, likely low HS potential</t>
  </si>
  <si>
    <t>Admissions Director</t>
  </si>
  <si>
    <t>Low priority outreach, confirm HS program later</t>
  </si>
  <si>
    <t>FRA-18</t>
  </si>
  <si>
    <t>Lycée Notre-Dame International School Paris</t>
  </si>
  <si>
    <t>Verneuil-sur-Seine</t>
  </si>
  <si>
    <t>108 Rue de l'Église, 78480 Verneuil-sur-Seine</t>
  </si>
  <si>
    <t>https://ndioparis.com</t>
  </si>
  <si>
    <t>+33 1 39 71 85 85</t>
  </si>
  <si>
    <t>info@ndioparis.com</t>
  </si>
  <si>
    <t>US Diploma, AP</t>
  </si>
  <si>
    <t>~100 (HS)</t>
  </si>
  <si>
    <t>American curriculum boarding school</t>
  </si>
  <si>
    <t>Guidance Counselor</t>
  </si>
  <si>
    <t>FRA-19</t>
  </si>
  <si>
    <t>École Jeannine Manuel</t>
  </si>
  <si>
    <t>Paris (and Lille)</t>
  </si>
  <si>
    <t>70 Rue du Théâtre, 75015 Paris</t>
  </si>
  <si>
    <t>https://www.ecolejeanninemanuel.org</t>
  </si>
  <si>
    <t>+33 1 44 37 00 80</t>
  </si>
  <si>
    <t>Contact via website form</t>
  </si>
  <si>
    <t>French Bac, OIB (American), IB Diploma</t>
  </si>
  <si>
    <t>~1000+ (Paris Lycée)</t>
  </si>
  <si>
    <t>Private, Bilingual, Selective</t>
  </si>
  <si>
    <t>Highly academic, bilingual, multiple diploma options</t>
  </si>
  <si>
    <t>Research contact, send outreach email by early Nov 2025</t>
  </si>
  <si>
    <t>FRA-20</t>
  </si>
  <si>
    <t>Section Internationale La Celle Saint Cloud</t>
  </si>
  <si>
    <t>La Celle-Saint-Cloud</t>
  </si>
  <si>
    <t>Cité Scolaire Pierre Corneille, Place Jean-Baptiste Lully</t>
  </si>
  <si>
    <t>https://www.sectioninternationale.org</t>
  </si>
  <si>
    <t>+33 1 30 78 19 19</t>
  </si>
  <si>
    <t>contact@sectioninternationale.org</t>
  </si>
  <si>
    <t>Yes (Section)</t>
  </si>
  <si>
    <t>French Bac, OIB (British) - Integrated</t>
  </si>
  <si>
    <t>Integrated British section within Lycée Corneille</t>
  </si>
  <si>
    <t>Section Head</t>
  </si>
  <si>
    <t>FRA-21</t>
  </si>
  <si>
    <t>Lycée Camille Sée (Section Internationale)</t>
  </si>
  <si>
    <t>11 Rue Léon Lhermitte, 75015 Paris</t>
  </si>
  <si>
    <t>https://lyc-camille-see.ac-paris.fr</t>
  </si>
  <si>
    <t>+33 1 53 68 11 00</t>
  </si>
  <si>
    <t>ce.0750692y@ac-paris.fr</t>
  </si>
  <si>
    <t>French Bac, OIB (multi)</t>
  </si>
  <si>
    <t>Multiple OIB language sections</t>
  </si>
  <si>
    <t>Deputy Head</t>
  </si>
  <si>
    <t>FRA-22</t>
  </si>
  <si>
    <t>Lycée Honoré de Balzac (Section Internationale)</t>
  </si>
  <si>
    <t>118 Boulevard Bessières, 75017 Paris</t>
  </si>
  <si>
    <t>https://lyc-balzac.ac-paris.fr</t>
  </si>
  <si>
    <t>+33 1 53 11 12 13</t>
  </si>
  <si>
    <t>ce.0750697d@ac-paris.fr</t>
  </si>
  <si>
    <t>FRA-23</t>
  </si>
  <si>
    <t>International School of Bordeaux</t>
  </si>
  <si>
    <t>Bordeaux</t>
  </si>
  <si>
    <t>73 Rue de la Benauge, 33100 Bordeaux</t>
  </si>
  <si>
    <t>https://isobordeaux.org</t>
  </si>
  <si>
    <t>+33 5 57 87 02 11</t>
  </si>
  <si>
    <t>admissions@isobordeaux.org</t>
  </si>
  <si>
    <t>Cambridge (IGCSE, A-Levels), US adapt</t>
  </si>
  <si>
    <t>Small (K-12)</t>
  </si>
  <si>
    <t>Cambridge curriculum focus</t>
  </si>
  <si>
    <t>France.xlsx (Schools tab): Listed as ""Bordeaux International School"". Status: NO_RECIPIENT. No contact details. Linnea did NOT email in Jan 2025.</t>
  </si>
  <si>
    <t>FRA-24</t>
  </si>
  <si>
    <t>Lycée Saint-Vincent Providence (International Section)</t>
  </si>
  <si>
    <t>Rennes</t>
  </si>
  <si>
    <t>57 Rue de Paris, 35000 Rennes</t>
  </si>
  <si>
    <t>https://www.saintvincent-rennes.org</t>
  </si>
  <si>
    <t>+33 2 99 84 11 11</t>
  </si>
  <si>
    <t>contact@saintvincent-rennes.org</t>
  </si>
  <si>
    <t>French Bac, OIB (British)</t>
  </si>
  <si>
    <t>Private Catholic School</t>
  </si>
  <si>
    <t>Integrated British OIB section within private school</t>
  </si>
  <si>
    <t>Chef d'établissement</t>
  </si>
  <si>
    <t>FRA-25</t>
  </si>
  <si>
    <t>Lycée Nelson Mandela (Section Internationale)</t>
  </si>
  <si>
    <t>Nantes</t>
  </si>
  <si>
    <t>1 Boulevard Léonard de Vinci, 44300 Nantes</t>
  </si>
  <si>
    <t>https://nelson-mandela.paysdelaloire.e-lyco.fr</t>
  </si>
  <si>
    <t>+33 2 51 81 23 23</t>
  </si>
  <si>
    <t>ce.0442751y@ac-nantes.fr</t>
  </si>
  <si>
    <t>Integrated British OIB section</t>
  </si>
  <si>
    <t>FRA-26</t>
  </si>
  <si>
    <t>Lycée Jean-Perrin (Section Internationale)</t>
  </si>
  <si>
    <t>Rezé</t>
  </si>
  <si>
    <t>Rue Etienne-Vincent, 44400 Rezé</t>
  </si>
  <si>
    <t>https://jean-perrin.paysdelaloire.e-lyco.fr</t>
  </si>
  <si>
    <t>+33 2 51 89 29 29</t>
  </si>
  <si>
    <t>ce.0440096v@ac-nantes.fr</t>
  </si>
  <si>
    <t>FRA-27</t>
  </si>
  <si>
    <t>Lycée Saint-Dominique</t>
  </si>
  <si>
    <t>23ter Boulevard d'Argenson, 92200 Neuilly-sur-Seine</t>
  </si>
  <si>
    <t>https://saintdominique.net</t>
  </si>
  <si>
    <t>+33 1 46 37 40 50</t>
  </si>
  <si>
    <t>Yes (IBDP)</t>
  </si>
  <si>
    <t>~200 (IBDP?)</t>
  </si>
  <si>
    <t>FRA-28</t>
  </si>
  <si>
    <t>International Bilingual School of Provence (IBS)</t>
  </si>
  <si>
    <t>500 Route de Bouc Bel Air, 13080 Luynes</t>
  </si>
  <si>
    <t>https://www.ibsofprovence.com</t>
  </si>
  <si>
    <t>+33 4 42 24 03 40</t>
  </si>
  <si>
    <t>info@ibsofprovence.com</t>
  </si>
  <si>
    <t>French Brevet/Bac, IGCSE, IB Diploma</t>
  </si>
  <si>
    <t>Multiple curricula, boarding</t>
  </si>
  <si>
    <t>School Counselor (Silver hair)</t>
  </si>
  <si>
    <t>School Counselor</t>
  </si>
  <si>
    <t>Visited by Linnea (Feb 2025): Attended IBS Provence University Day fair. Notes: Very rich/expensive, remote campus. Met counselor (silver hair, popular, sweet). Parents heavily involved. Panel discussion, table. Good food/wine. Questionable ROI (single-school audience). Students interested in Business/Law. Contacted by Linnea (Jan 5, 2025): Registered for fair.</t>
  </si>
  <si>
    <t>Follow up with Counselor re: outcomes/next fair by Nov 20, 2025</t>
  </si>
  <si>
    <t>FRA-29</t>
  </si>
  <si>
    <t>Bordeaux International School (BIS)</t>
  </si>
  <si>
    <t>26 Rue Judaïque, 33000 Bordeaux</t>
  </si>
  <si>
    <t>https://bordeaux-school.com</t>
  </si>
  <si>
    <t>+33 5 56 48 05 10</t>
  </si>
  <si>
    <t>info@bordeaux-school.com</t>
  </si>
  <si>
    <t>UK Curriculum (Primary to A-Level)</t>
  </si>
  <si>
    <t>UK curriculum focus</t>
  </si>
  <si>
    <t>France.xlsx (Schools tab): Listed. Status: NO_RECIPIENT. No contact details. Linnea did NOT email in Jan 2025. (Duplicate entry, consolidated)</t>
  </si>
  <si>
    <t>FRA-30</t>
  </si>
  <si>
    <t>Collège Lycée International Cévenol</t>
  </si>
  <si>
    <t>Le Chambon-sur-Lignon</t>
  </si>
  <si>
    <t>Route du Mazet, 43400 Le Chambon-sur-Lignon</t>
  </si>
  <si>
    <t>https://collegecevenol.org</t>
  </si>
  <si>
    <t>+33 4 71 59 72 52</t>
  </si>
  <si>
    <t>contact@collegecevenol.org</t>
  </si>
  <si>
    <t>French Bac</t>
  </si>
  <si>
    <t>~200 (Total)</t>
  </si>
  <si>
    <t>Private Boarding School</t>
  </si>
  <si>
    <t>Historic school with international outlook, boarding</t>
  </si>
  <si>
    <t>Directeur</t>
  </si>
  <si>
    <t>Director</t>
  </si>
  <si>
    <t>Low priority outreach, check fit later</t>
  </si>
  <si>
    <t>FRA-31</t>
  </si>
  <si>
    <t>Lycée Franco-Allemand</t>
  </si>
  <si>
    <t>Buc</t>
  </si>
  <si>
    <t>Rue Collin Mamet, 78530 Buc</t>
  </si>
  <si>
    <t>https://www.lfa-buc.fr</t>
  </si>
  <si>
    <t>+33 1 39 07 14 20</t>
  </si>
  <si>
    <t>contact@lfa-buc.fr</t>
  </si>
  <si>
    <t>French Bac &amp; German Abitur (Abibac)</t>
  </si>
  <si>
    <t>Bi-national Franco-German curriculum</t>
  </si>
  <si>
    <t>FRA-32</t>
  </si>
  <si>
    <t>Lycée Montaigne (Section Internationale)</t>
  </si>
  <si>
    <t>17 Rue Auguste Comte, 75006 Paris</t>
  </si>
  <si>
    <t>https://pia.ac-paris.fr/serail/jcms/s2_150935/fr/accueil</t>
  </si>
  <si>
    <t>+33 1 44 41 83 23</t>
  </si>
  <si>
    <t>ce.0750694z@ac-paris.fr</t>
  </si>
  <si>
    <t>French Bac, OIB (Polish)</t>
  </si>
  <si>
    <t>Integrated Polish OIB section</t>
  </si>
  <si>
    <t>FRA-33</t>
  </si>
  <si>
    <t>Lycée Henri IV (Sections Européennes)</t>
  </si>
  <si>
    <t>23 Rue Clovis, 75005 Paris</t>
  </si>
  <si>
    <t>https://lycee-henri4.com</t>
  </si>
  <si>
    <t>+33 1 44 41 21 21</t>
  </si>
  <si>
    <t>ce.0750676d@ac-paris.fr</t>
  </si>
  <si>
    <t>French Bac, Sections Européennes</t>
  </si>
  <si>
    <t>~600 (Lycée)</t>
  </si>
  <si>
    <t>Public School (Highly Selective)</t>
  </si>
  <si>
    <t>Elite public lycée with European sections</t>
  </si>
  <si>
    <t>Email (?)</t>
  </si>
  <si>
    <t>Previous contact (unknown date): France.xlsx (Schools Follow Up) lists ""Lycee Henri Paris"". Notes: ""CAN'T REACH WEBSITE"". Status: ERROR. (Website may have been down). Linnea did NOT email in Jan 2025.</t>
  </si>
  <si>
    <t>FRA-34</t>
  </si>
  <si>
    <t>Lycée Louis-le-Grand (Sections Européennes)</t>
  </si>
  <si>
    <t>123 Rue Saint-Jacques, 75005 Paris</t>
  </si>
  <si>
    <t>https://www.louis-le-grand.fr</t>
  </si>
  <si>
    <t>+33 1 44 32 82 00</t>
  </si>
  <si>
    <t>Contact Form Only</t>
  </si>
  <si>
    <t>Form</t>
  </si>
  <si>
    <t>Previous contact (unknown date): France.xlsx (Schools Follow Up) lists ""Lycee Louis le Grand"". Notes: ""Contact Form on Website"". Status: ERROR. (Form submission may have failed). Linnea did NOT email in Jan 2025.</t>
  </si>
  <si>
    <t>Attempt outreach via different channel by late Nov 2025</t>
  </si>
  <si>
    <t>FRA-35</t>
  </si>
  <si>
    <t>Lycée Saint-Louis (Sections Européennes)</t>
  </si>
  <si>
    <t>44 Boulevard Saint-Michel, 75006 Paris</t>
  </si>
  <si>
    <t>https://www.lycee-saintlouis.fr</t>
  </si>
  <si>
    <t>+33 1 53 73 78 00</t>
  </si>
  <si>
    <t>ce.0750696b@ac-paris.fr</t>
  </si>
  <si>
    <t>Elite public lycée, focuses on science prep classes (CPGE)</t>
  </si>
  <si>
    <t>FRA-36</t>
  </si>
  <si>
    <t>International School of Strasbourg</t>
  </si>
  <si>
    <t>2 Rue Sleidan, 67000 Strasbourg</t>
  </si>
  <si>
    <t>https://www.strasbourg-europe.eu</t>
  </si>
  <si>
    <t>+33 3 88 36 29 49</t>
  </si>
  <si>
    <t>contact@strasbourg-europe.eu</t>
  </si>
  <si>
    <t>IB Diploma (integrated w/ Pontonniers)</t>
  </si>
  <si>
    <t>IB Diploma integrated within Lycée des Pontonniers</t>
  </si>
  <si>
    <t>Coordinator</t>
  </si>
  <si>
    <t>FRA-37</t>
  </si>
  <si>
    <t>Forest International School Paris</t>
  </si>
  <si>
    <t>Mareil-Marly</t>
  </si>
  <si>
    <t>28 Rue de l'Abbaye, 78750 Mareil-Marly</t>
  </si>
  <si>
    <t>https://www.forest-international-school.com</t>
  </si>
  <si>
    <t>+33 1 39 16 00 24</t>
  </si>
  <si>
    <t>info@forest-international-school.com</t>
  </si>
  <si>
    <t>Yes (Primarily &lt;14)</t>
  </si>
  <si>
    <t>UK Curriculum (Primary/Middle focus)</t>
  </si>
  <si>
    <t>Private</t>
  </si>
  <si>
    <t>Primarily Primary/Middle, check if HS exists</t>
  </si>
  <si>
    <t>Head Teacher</t>
  </si>
  <si>
    <t>FRA-38</t>
  </si>
  <si>
    <t>The Bilingual Montessori School of Paris</t>
  </si>
  <si>
    <t>Several campuses</t>
  </si>
  <si>
    <t>https://www.montessori-paris.com</t>
  </si>
  <si>
    <t>Check website</t>
  </si>
  <si>
    <t>Yes (Primarily &lt;11)</t>
  </si>
  <si>
    <t>Montessori (Primary/Middle focus)</t>
  </si>
  <si>
    <t>Primarily Primary/Middle, Montessori curriculum</t>
  </si>
  <si>
    <t>Deprioritize (focus &lt; HS age)</t>
  </si>
  <si>
    <t>FRA-39</t>
  </si>
  <si>
    <t>Lycée Assomption Bellevue</t>
  </si>
  <si>
    <t>La Mulatière (Lyon)</t>
  </si>
  <si>
    <t>1 Quai Jean-Jacques Rousseau, 69350 La Mulatière</t>
  </si>
  <si>
    <t>https://www.assomption-bellevue.fr</t>
  </si>
  <si>
    <t>+33 4 72 66 30 80</t>
  </si>
  <si>
    <t>Yes (Section Euro)</t>
  </si>
  <si>
    <t>French Bac, Section Européenne (English)</t>
  </si>
  <si>
    <t>Large private school with European Section</t>
  </si>
  <si>
    <t>FRA-40</t>
  </si>
  <si>
    <t>Sainte Victoire International School (SVIS)</t>
  </si>
  <si>
    <t>Fuveau</t>
  </si>
  <si>
    <t>Domaine de la Miclette, Chemin du Puits Armand, 13710 Fuveau</t>
  </si>
  <si>
    <t>https://svis.fr</t>
  </si>
  <si>
    <t>+33 4 42 68 11 11</t>
  </si>
  <si>
    <t>info@svis.fr</t>
  </si>
  <si>
    <t>IB (MYP, DP), Cambridge IGCSE</t>
  </si>
  <si>
    <t>IB MYP/DP and IGCSE options, boarding</t>
  </si>
  <si>
    <t>Kerstin Kolbe / Frédéric Fabre</t>
  </si>
  <si>
    <t>Admissions / Principal</t>
  </si>
  <si>
    <t>info@svis.fr / fred-fabre@hotmail.fr</t>
  </si>
  <si>
    <t>Contacted by Linnea (Jan 6, 2025): Emailed Principal (Frédéric Fabre - noted unlikely to reply) and contact form. Outcome: Kerstin Kolbe replied; Linnea replied back on Jan 10. Visited by Linnea Feb 4, 2025 (Presentation). (Schools Follow Up tab): Shows previous email to fred-fabre@hotmail.fr by previous contact, status EMAIL_SENT.</t>
  </si>
  <si>
    <t>Follow up with Kerstin Kolbe re: presentation outcome by Nov 20, 2025</t>
  </si>
  <si>
    <t>FRA-41</t>
  </si>
  <si>
    <t>Mougins British International School</t>
  </si>
  <si>
    <t>Mougins</t>
  </si>
  <si>
    <t>615 Av. Dr Maurice Donat, 06250 Mougins</t>
  </si>
  <si>
    <t>https://mougins-school.com</t>
  </si>
  <si>
    <t>+33 4 93 90 15 47</t>
  </si>
  <si>
    <t>info@mougins-school.com</t>
  </si>
  <si>
    <t>~200 (Senior)</t>
  </si>
  <si>
    <t>Head of Admissions</t>
  </si>
  <si>
    <t>Contacted by Linnea (Jan 5, 2025): Emailed info@mougins-school.com about potential co-visit Feb 4-6.</t>
  </si>
  <si>
    <t>Follow up on Jan 5 email by Nov 10, 2025</t>
  </si>
  <si>
    <t>FRA-42</t>
  </si>
  <si>
    <t>International School of Toulouse</t>
  </si>
  <si>
    <t>Colomiers</t>
  </si>
  <si>
    <t>2 Allée de l'Herbaudière, 31770 Colomiers</t>
  </si>
  <si>
    <t>https://intst.eu</t>
  </si>
  <si>
    <t>+33 5 62 74 26 74</t>
  </si>
  <si>
    <t>admin@intst.eu</t>
  </si>
  <si>
    <t>UK Curriculum (IGCSE), IB Diploma</t>
  </si>
  <si>
    <t>Private (Airbus sponsored)</t>
  </si>
  <si>
    <t>UK curriculum &amp; IB DP, primarily serves Airbus families</t>
  </si>
  <si>
    <t>George Fearnehough / Emma Whitby</t>
  </si>
  <si>
    <t>Not specified / Not specified</t>
  </si>
  <si>
    <t>Contacted by Linnea (Jan 5, 2025): Emailed via contact form and general email (admin@intst.eu). (Jan 6, 2025): Sent extra email to George Fearnehough. Linnea emailed Emma Whitby re: Feb 7 visit, she was unavailable. Did not visit. Invited to go again this year.</t>
  </si>
  <si>
    <t>Follow up with Emma Whitby re: visit this year by Nov 15, 2025</t>
  </si>
  <si>
    <t>FRA-43</t>
  </si>
  <si>
    <t>International School of Lyon (ISL)</t>
  </si>
  <si>
    <t>Sainte-Foy-lès-Lyon</t>
  </si>
  <si>
    <t>80 Chemin du Grand Roule, 69110 Sainte-Foy-lès-Lyon</t>
  </si>
  <si>
    <t>https://islyon.org</t>
  </si>
  <si>
    <t>+33 4 78 86 61 90</t>
  </si>
  <si>
    <t>admissions@islyon.org</t>
  </si>
  <si>
    <t>Admissions Officer</t>
  </si>
  <si>
    <t>Contacted by Linnea (Jan 6, 2025): Emailed admissions@islyon.org about potential co-visit Feb 4-6.</t>
  </si>
  <si>
    <t>Follow up on Jan 6 email by Nov 10, 2025</t>
  </si>
  <si>
    <t>FRA-44</t>
  </si>
  <si>
    <t>International School of Nice (ISN)</t>
  </si>
  <si>
    <t>Nice</t>
  </si>
  <si>
    <t>15 Avenue Claude Debussy, 06200 Nice</t>
  </si>
  <si>
    <t>https://www.isn-nice.com</t>
  </si>
  <si>
    <t>+33 4 93 21 04 00</t>
  </si>
  <si>
    <t>admissions@isn-nice.com</t>
  </si>
  <si>
    <t>~150 (HS)</t>
  </si>
  <si>
    <t>Nalinka</t>
  </si>
  <si>
    <t>Not specified</t>
  </si>
  <si>
    <t>admissions@isn-nice.com (?)</t>
  </si>
  <si>
    <t>Contacted by Linnea (Jan 6, 2025): Emailed Nalinka re: potential co-visit Feb 4-6. France.xlsx (Schools tab): Listed, Status: NO_RECIPIENT.</t>
  </si>
  <si>
    <t>Follow up on Jan 6 email to Nalinka by Nov 10, 2025</t>
  </si>
  <si>
    <t>FRA-45</t>
  </si>
  <si>
    <t>Ombrosa International School</t>
  </si>
  <si>
    <t>Caluire-et-Cuire</t>
  </si>
  <si>
    <t>95 Quai Clemenceau, 69300 Caluire-et-Cuire</t>
  </si>
  <si>
    <t>https://www.ombrosa.com</t>
  </si>
  <si>
    <t>+33 4 78 23 83 23</t>
  </si>
  <si>
    <t>info@ombrosa.fr</t>
  </si>
  <si>
    <t>French Brevet/Bac, IB Diploma</t>
  </si>
  <si>
    <t>~300 (Lycée)</t>
  </si>
  <si>
    <t>Private, Bilingual</t>
  </si>
  <si>
    <t>Sylvie Henderson</t>
  </si>
  <si>
    <t>info@ombrosa.fr (?)</t>
  </si>
  <si>
    <t>Email/Form/Portal</t>
  </si>
  <si>
    <t>Contacted by Linnea (Jan 6, 2025): Emailed via contact form AND via IB portal to Sylvie Henderson. France.xlsx (Schools tab): Listed, Status: NO_RECIPIENT.</t>
  </si>
  <si>
    <t>Follow up on Jan 6 email/form by Nov 10, 2025</t>
  </si>
  <si>
    <t>DEU-04</t>
  </si>
  <si>
    <t>Frankfurt International School</t>
  </si>
  <si>
    <t>Germany</t>
  </si>
  <si>
    <t>DEU</t>
  </si>
  <si>
    <t>Oberursel</t>
  </si>
  <si>
    <t>Alfred-Wegener-Str. 37-39, 61440</t>
  </si>
  <si>
    <t>www.fis.edu</t>
  </si>
  <si>
    <t>+49 6171 202 0</t>
  </si>
  <si>
    <t>fis@fis.edu</t>
  </si>
  <si>
    <t>IB Diploma, AP</t>
  </si>
  <si>
    <t>~600 (HS est.)</t>
  </si>
  <si>
    <t>High-fee. Large expat community.</t>
  </si>
  <si>
    <t>~€25,000+</t>
  </si>
  <si>
    <t>Jessica Angelidis</t>
  </si>
  <si>
    <t>HS Counselor (Grades 11-12)</t>
  </si>
  <si>
    <t>jessica_angelidis@fis.edu</t>
  </si>
  <si>
    <t>Visit (Fair)</t>
  </si>
  <si>
    <t>(8/10). Good fair.</t>
  </si>
  <si>
    <t>EMAIL_OPENED</t>
  </si>
  <si>
    <t>Follow-up</t>
  </si>
  <si>
    <t>GIB-01</t>
  </si>
  <si>
    <t>Prior Park School Gibraltar</t>
  </si>
  <si>
    <t>Gibraltar</t>
  </si>
  <si>
    <t>GIB</t>
  </si>
  <si>
    <t>Old Town</t>
  </si>
  <si>
    <t>www.priorparkgibraltar.com</t>
  </si>
  <si>
    <t>+350 200 62006</t>
  </si>
  <si>
    <t>gibraltar@priorparkschools.com</t>
  </si>
  <si>
    <t>UK (GCSE, A-Level)</t>
  </si>
  <si>
    <t>~100 (Senior est.)</t>
  </si>
  <si>
    <t>Private. Fees apply. UK-based curriculum.</t>
  </si>
  <si>
    <t>~£18,000</t>
  </si>
  <si>
    <t>Head of Sixth Form</t>
  </si>
  <si>
    <t>Main private secondary option.</t>
  </si>
  <si>
    <t>GRL-01</t>
  </si>
  <si>
    <t>GUX Nuuk (Gymnasie i Nuuk)</t>
  </si>
  <si>
    <t>Greenland</t>
  </si>
  <si>
    <t>GRL</t>
  </si>
  <si>
    <t>Nuuk</t>
  </si>
  <si>
    <t>GU Nuuk, Postboks 1009, 3900 Nuuk</t>
  </si>
  <si>
    <t>www.gu-nuuk.gl</t>
  </si>
  <si>
    <t>+299 34 82 00</t>
  </si>
  <si>
    <t>gu@gu.gl</t>
  </si>
  <si>
    <t>Greenlandic/Danish Gymnasium</t>
  </si>
  <si>
    <t>Main upper secondary school in the capital.</t>
  </si>
  <si>
    <t>Studievejleder</t>
  </si>
  <si>
    <t>GGY-01</t>
  </si>
  <si>
    <t>Elizabeth College</t>
  </si>
  <si>
    <t>Guernsey</t>
  </si>
  <si>
    <t>GGY</t>
  </si>
  <si>
    <t>St Peter Port</t>
  </si>
  <si>
    <t>The Grange, St Peter Port, GY1 2PY</t>
  </si>
  <si>
    <t>www.elizabethcollege.gg</t>
  </si>
  <si>
    <t>+44 1481 726544</t>
  </si>
  <si>
    <t>office@elizabethcollege.gg</t>
  </si>
  <si>
    <t>UK (GCSE, A-Level), IB Diploma</t>
  </si>
  <si>
    <t>~250 (Upper School est.)</t>
  </si>
  <si>
    <t>Prestigious Private Day/Boarding. Fees apply.</t>
  </si>
  <si>
    <t>~£15,000 (Day)</t>
  </si>
  <si>
    <t>Head of Sixth Form / UCAS Lead</t>
  </si>
  <si>
    <t>Leading school in Guernsey.</t>
  </si>
  <si>
    <t>ISL-01</t>
  </si>
  <si>
    <t>Menntaskólinn í Reykjavík (MR)</t>
  </si>
  <si>
    <t>Iceland</t>
  </si>
  <si>
    <t>ISL</t>
  </si>
  <si>
    <t>Reykjavík</t>
  </si>
  <si>
    <t>Lækjargata 7, 101 Reykjavík</t>
  </si>
  <si>
    <t>www.mr.is</t>
  </si>
  <si>
    <t>+354 545 1900</t>
  </si>
  <si>
    <t>mr@mr.is</t>
  </si>
  <si>
    <t>Icelandic Stúdentspróf</t>
  </si>
  <si>
    <t>Most prestigious public Gymnasium. Highly selective.</t>
  </si>
  <si>
    <t>Námsráðgjafi (Counselor)</t>
  </si>
  <si>
    <t>Top academic feeder school.</t>
  </si>
  <si>
    <t>IRL-01</t>
  </si>
  <si>
    <t>St. Andrew's College Dublin</t>
  </si>
  <si>
    <t>Ireland (Republic)</t>
  </si>
  <si>
    <t>IRL</t>
  </si>
  <si>
    <t>Dublin</t>
  </si>
  <si>
    <t>Booterstown Ave, Blackrock, Co. Dublin</t>
  </si>
  <si>
    <t>www.sac.ie</t>
  </si>
  <si>
    <t>+353 1 288 2785</t>
  </si>
  <si>
    <t>school@sac.ie</t>
  </si>
  <si>
    <t>IB Diploma, Irish Leaving Cert</t>
  </si>
  <si>
    <t>~400 (Senior Cycle est.)</t>
  </si>
  <si>
    <t>Prestigious Private Day school. High-fee.</t>
  </si>
  <si>
    <t>~€8,000+</t>
  </si>
  <si>
    <t>IB Programme</t>
  </si>
  <si>
    <t>College Guidance Counsellor</t>
  </si>
  <si>
    <t>Key IB school target in Ireland.</t>
  </si>
  <si>
    <t>ITA-01</t>
  </si>
  <si>
    <t>UWC Adriatic</t>
  </si>
  <si>
    <t>Italy</t>
  </si>
  <si>
    <t>ITA</t>
  </si>
  <si>
    <t>Duino Aurisina</t>
  </si>
  <si>
    <t>Via Trieste 29, 34011 Duino (TS)</t>
  </si>
  <si>
    <t>www.uwcad.it</t>
  </si>
  <si>
    <t>+39 040 3739 111</t>
  </si>
  <si>
    <t>info@uwcad.it</t>
  </si>
  <si>
    <t>IB Diploma</t>
  </si>
  <si>
    <t>~180 (Total)</t>
  </si>
  <si>
    <t>UWC. ~92% on FinAid. Highly international.</t>
  </si>
  <si>
    <t>Full Fee ~€40k</t>
  </si>
  <si>
    <t>UWC Mission</t>
  </si>
  <si>
    <t>Ognjen Dedagić</t>
  </si>
  <si>
    <t>University Counselor</t>
  </si>
  <si>
    <t>ognen.dedagic@uwcad.it</t>
  </si>
  <si>
    <t>Hosts visits/small fairs in Fall.</t>
  </si>
  <si>
    <t>Schedule Fall Visit</t>
  </si>
  <si>
    <t>JEY-01</t>
  </si>
  <si>
    <t>Victoria College Jersey</t>
  </si>
  <si>
    <t>Jersey</t>
  </si>
  <si>
    <t>JEY</t>
  </si>
  <si>
    <t>Saint Helier</t>
  </si>
  <si>
    <t>Mont Millais, St Helier, JE1 4HT</t>
  </si>
  <si>
    <t>www.victoriacollege.je</t>
  </si>
  <si>
    <t>+44 1534 638200</t>
  </si>
  <si>
    <t>admin@vcj.sch.je</t>
  </si>
  <si>
    <t>~300 (Senior est.)</t>
  </si>
  <si>
    <t>Prestigious State Fee-Paying/Private.</t>
  </si>
  <si>
    <t>~£7,000+</t>
  </si>
  <si>
    <t>Head of Sixth Form / Careers Lead</t>
  </si>
  <si>
    <t>Leading academic school in Jersey.</t>
  </si>
  <si>
    <t>LIE-01</t>
  </si>
  <si>
    <t>Liechtensteinisches Gymnasium</t>
  </si>
  <si>
    <t>Liechtenstein</t>
  </si>
  <si>
    <t>LIE</t>
  </si>
  <si>
    <t>Vaduz</t>
  </si>
  <si>
    <t>Marianumstrasse 45, 9490 Vaduz</t>
  </si>
  <si>
    <t>www.lg.li</t>
  </si>
  <si>
    <t>+423 236 72 00</t>
  </si>
  <si>
    <t>info@lg.li</t>
  </si>
  <si>
    <t>Liechtenstein Matura, IB Diploma</t>
  </si>
  <si>
    <t>~300 (Upper level)</t>
  </si>
  <si>
    <t>Main academic secondary school. High-performing.</t>
  </si>
  <si>
    <t>Berufsberatung / IB Coordinator</t>
  </si>
  <si>
    <t>Only IB option in Liechtenstein.</t>
  </si>
  <si>
    <t>LUX-01</t>
  </si>
  <si>
    <t>International School of Luxembourg</t>
  </si>
  <si>
    <t>Luxembourg</t>
  </si>
  <si>
    <t>LUX</t>
  </si>
  <si>
    <t>Luxembourg City</t>
  </si>
  <si>
    <t>36 Bd Pierre Dupong, L-1430 Luxembourg</t>
  </si>
  <si>
    <t>www.islux.lu</t>
  </si>
  <si>
    <t>+352 26 04 40</t>
  </si>
  <si>
    <t>info@islux.lu</t>
  </si>
  <si>
    <t>IB Diploma, US HS Diploma, IGCSE</t>
  </si>
  <si>
    <t>~450 (US est.)</t>
  </si>
  <si>
    <t>High-fee. Serves large expat/financial sector comm.</t>
  </si>
  <si>
    <t>High School Counselor</t>
  </si>
  <si>
    <t>Key target in Luxembourg.</t>
  </si>
  <si>
    <t>MLT-01</t>
  </si>
  <si>
    <t>Verdala International School</t>
  </si>
  <si>
    <t>Malta</t>
  </si>
  <si>
    <t>MLT</t>
  </si>
  <si>
    <t>Pembroke</t>
  </si>
  <si>
    <t>Fort Pembroke, Pembroke PBK 1641</t>
  </si>
  <si>
    <t>www.verdala.org</t>
  </si>
  <si>
    <t>+356 21 375 133</t>
  </si>
  <si>
    <t>vis@verdala.org</t>
  </si>
  <si>
    <t>~150 (HS est.)</t>
  </si>
  <si>
    <t>Private. Fees apply. Serves expat community.</t>
  </si>
  <si>
    <t>~€13,000+</t>
  </si>
  <si>
    <t>Main IB school in Malta.</t>
  </si>
  <si>
    <t>MCO-01</t>
  </si>
  <si>
    <t>International School of Monaco</t>
  </si>
  <si>
    <t>Monaco</t>
  </si>
  <si>
    <t>MCO</t>
  </si>
  <si>
    <t>12 Av. de la Costa, 98000 Monaco</t>
  </si>
  <si>
    <t>www.ismonaco.org</t>
  </si>
  <si>
    <t>+377 93 25 68 20</t>
  </si>
  <si>
    <t>info@ismonaco.mc</t>
  </si>
  <si>
    <t>IB Diploma, IGCSE, IPC</t>
  </si>
  <si>
    <t>~200 (Senior est.)</t>
  </si>
  <si>
    <t>Elite. High-fee. Serves Monaco's HNW community.</t>
  </si>
  <si>
    <t>~€25,000-€30,000+</t>
  </si>
  <si>
    <t>NLD-01</t>
  </si>
  <si>
    <t>International School of Amsterdam</t>
  </si>
  <si>
    <t>Netherlands</t>
  </si>
  <si>
    <t>NLD</t>
  </si>
  <si>
    <t>Amstelveen</t>
  </si>
  <si>
    <t>Sportlaan 45, 1185 TB</t>
  </si>
  <si>
    <t>www.isa.nl</t>
  </si>
  <si>
    <t>+31 20 347 1111</t>
  </si>
  <si>
    <t>info@isa.nl</t>
  </si>
  <si>
    <t>~414 (US est.)</t>
  </si>
  <si>
    <t>High-fee. Established int'l school.</t>
  </si>
  <si>
    <t>~€21,450+</t>
  </si>
  <si>
    <t>Robbie Jefferiss</t>
  </si>
  <si>
    <t>Uni &amp; Career Counsellor</t>
  </si>
  <si>
    <t>rjefferiss@isa.nl (inferred)</t>
  </si>
  <si>
    <t>Visit</t>
  </si>
  <si>
    <t>(9/10). Good school.</t>
  </si>
  <si>
    <t>Follow-up / Invite</t>
  </si>
  <si>
    <t>NOR-01</t>
  </si>
  <si>
    <t>Red Cross Nordic United World College (RCN UWC)</t>
  </si>
  <si>
    <t>Norway</t>
  </si>
  <si>
    <t>NOR</t>
  </si>
  <si>
    <t>Rungsted Kyst</t>
  </si>
  <si>
    <t>Flekke, 6968, Norway</t>
  </si>
  <si>
    <t>https://rcnuwc.no</t>
  </si>
  <si>
    <t>+47 22 51 60 60</t>
  </si>
  <si>
    <t>info@rcnuwc.no</t>
  </si>
  <si>
    <t>IB DP</t>
  </si>
  <si>
    <t>Diverse international, typically affluent families</t>
  </si>
  <si>
    <t>€15,000 - €25,000</t>
  </si>
  <si>
    <t>International, Boarding, Peace &amp; Sustainability</t>
  </si>
  <si>
    <t>University Guidance Team</t>
  </si>
  <si>
    <t>universities@uwcrcn.no</t>
  </si>
  <si>
    <t>Going to Visit on November 14,15,16</t>
  </si>
  <si>
    <t>Follow up with school (General Outreach) on Jan 15, 2025</t>
  </si>
  <si>
    <t>NOR-02</t>
  </si>
  <si>
    <t>Oslo International School</t>
  </si>
  <si>
    <t>Oslo</t>
  </si>
  <si>
    <t>Lysaker, 1363 Oslo, Norway</t>
  </si>
  <si>
    <t>https://oslointernationalschool.no</t>
  </si>
  <si>
    <t>+47 55 92 70 00</t>
  </si>
  <si>
    <t>info@oslointernationalschool.no</t>
  </si>
  <si>
    <t>Norwegian Vitnemål</t>
  </si>
  <si>
    <t>~700</t>
  </si>
  <si>
    <t>Dr. June Jetabut</t>
  </si>
  <si>
    <t>admissions@oslois.no</t>
  </si>
  <si>
    <t>Good relationship, they organized the Nordic Uni School Last year, and will also have a fair again in April 2026</t>
  </si>
  <si>
    <t>2024-12-02</t>
  </si>
  <si>
    <t>Emailed with Minerva prospectus.</t>
  </si>
  <si>
    <t>NOR-04</t>
  </si>
  <si>
    <t>Dale International School</t>
  </si>
  <si>
    <t>Dale</t>
  </si>
  <si>
    <t>Dale, 6940 Norway</t>
  </si>
  <si>
    <t>https://daleinternationalschool.no</t>
  </si>
  <si>
    <t>+47 51 52 10 40</t>
  </si>
  <si>
    <t>info@daleinternationalschool.no</t>
  </si>
  <si>
    <t>~150</t>
  </si>
  <si>
    <t>Admissions Office</t>
  </si>
  <si>
    <t>Admissions Coordinator</t>
  </si>
  <si>
    <t>NOR-05</t>
  </si>
  <si>
    <t>International School of Stavanger</t>
  </si>
  <si>
    <t>Stavanger</t>
  </si>
  <si>
    <t>Stavanger, 4007 Norway</t>
  </si>
  <si>
    <t>https://iss.no</t>
  </si>
  <si>
    <t>+47 22 85 55 00</t>
  </si>
  <si>
    <t>info@iss.no</t>
  </si>
  <si>
    <t>~600</t>
  </si>
  <si>
    <t>Vishal Srivastava</t>
  </si>
  <si>
    <t>University &amp; Career Counselor</t>
  </si>
  <si>
    <t>vishal.srivastava@isstavanger.no</t>
  </si>
  <si>
    <t>NOR-06</t>
  </si>
  <si>
    <t>Oslo Katedralskole</t>
  </si>
  <si>
    <t>Bislett 4, 0166 Oslo, Norway</t>
  </si>
  <si>
    <t>https://katedralen.oslo.kommune.no</t>
  </si>
  <si>
    <t>+47 73 86 50 00</t>
  </si>
  <si>
    <t>info@katedralen.oslo.kommune.no</t>
  </si>
  <si>
    <t>National</t>
  </si>
  <si>
    <t>Academically selective, mixed socioeconomic background</t>
  </si>
  <si>
    <t>€0 (Public)</t>
  </si>
  <si>
    <t>Academic Excellence</t>
  </si>
  <si>
    <t>Per Helmer Andersen / Hanne Skogvoll</t>
  </si>
  <si>
    <t>Rådgiver (Career Counselor)</t>
  </si>
  <si>
    <t>NOR-07</t>
  </si>
  <si>
    <t>Trondheim Katedralskole</t>
  </si>
  <si>
    <t>Trondheim</t>
  </si>
  <si>
    <t>Bispegata 9, 7013 Trondheim, Norway</t>
  </si>
  <si>
    <t>https://katedralen.trondheim.kommune.no</t>
  </si>
  <si>
    <t>+47 55 30 90 00</t>
  </si>
  <si>
    <t>info@katedralen.trondheim.kommune.no</t>
  </si>
  <si>
    <t>~800</t>
  </si>
  <si>
    <t>To be researched</t>
  </si>
  <si>
    <t>Career Counselor</t>
  </si>
  <si>
    <t>NOR-08</t>
  </si>
  <si>
    <t>Bergen Katedralskole</t>
  </si>
  <si>
    <t>Bergen</t>
  </si>
  <si>
    <t>Nygårdsgaten 2, 5006 Bergen, Norway</t>
  </si>
  <si>
    <t>https://katedralen.bergen.kommune.no</t>
  </si>
  <si>
    <t>+47 51 60 81 00</t>
  </si>
  <si>
    <t>info@katedralen.bergen.kommune.no</t>
  </si>
  <si>
    <t>NOR-09</t>
  </si>
  <si>
    <t>Sandnes Videregående Skole</t>
  </si>
  <si>
    <t>Sandnes</t>
  </si>
  <si>
    <t>Jåttåvågen 10, 4306 Sandnes, Norway</t>
  </si>
  <si>
    <t>https://sandnes.vgs.no</t>
  </si>
  <si>
    <t>+45 39 61 32 00</t>
  </si>
  <si>
    <t>info@sandnes.vgs.no</t>
  </si>
  <si>
    <t>General population, mixed socioeconomic background</t>
  </si>
  <si>
    <t>NOR-10</t>
  </si>
  <si>
    <t>Bislett 2, 0178 Oslo</t>
  </si>
  <si>
    <t>https://oslokat.no</t>
  </si>
  <si>
    <t>'+47 22 85 45 00</t>
  </si>
  <si>
    <t>info@oslokat.no</t>
  </si>
  <si>
    <t>~1,200</t>
  </si>
  <si>
    <t>Duplicate entry - verify if this is same as NOR-06. Emailed with Minerva prospectus.</t>
  </si>
  <si>
    <t>NOR-11</t>
  </si>
  <si>
    <t>Nygårdsgaten 2, 5008 Bergen</t>
  </si>
  <si>
    <t>https://bks.no</t>
  </si>
  <si>
    <t>'+47 55 55 00 00</t>
  </si>
  <si>
    <t>info@bks.no</t>
  </si>
  <si>
    <t>NOR-12</t>
  </si>
  <si>
    <t>Bispegata 9, 7013 Trondheim</t>
  </si>
  <si>
    <t>https://katedralen.no</t>
  </si>
  <si>
    <t>'+47 73 89 50 00</t>
  </si>
  <si>
    <t>info@katedralen.no</t>
  </si>
  <si>
    <t>NOR-13</t>
  </si>
  <si>
    <t>Stavanger Katedralskole</t>
  </si>
  <si>
    <t>Skolebakken 2, 4006 Stavanger</t>
  </si>
  <si>
    <t>https://skole.stavanger.kommune.no</t>
  </si>
  <si>
    <t>'+47 51 50 50 00</t>
  </si>
  <si>
    <t>info@skole.stavanger.kommune.no</t>
  </si>
  <si>
    <t>NOR-14</t>
  </si>
  <si>
    <t>Nissen Gymnas</t>
  </si>
  <si>
    <t>Bislett 6, 0178 Oslo</t>
  </si>
  <si>
    <t>https://nissen.vgs.no</t>
  </si>
  <si>
    <t>'+47 22 85 43 00</t>
  </si>
  <si>
    <t>info@nissen.vgs.no</t>
  </si>
  <si>
    <t>NOR-15</t>
  </si>
  <si>
    <t>Tromsø Katedralskole</t>
  </si>
  <si>
    <t>Tromsø</t>
  </si>
  <si>
    <t>Storgata 57, 9008 Tromsø</t>
  </si>
  <si>
    <t>https://tromskatedral.no</t>
  </si>
  <si>
    <t>'+47 77 75 30 00</t>
  </si>
  <si>
    <t>info@tromskatedral.no</t>
  </si>
  <si>
    <t>NOR-16</t>
  </si>
  <si>
    <t>Edvard Munch Vgs</t>
  </si>
  <si>
    <t>Tåsenveien 5, 0871 Oslo</t>
  </si>
  <si>
    <r>
      <rPr>
        <rFont val="Calibri"/>
        <color rgb="FF1155CC"/>
        <sz val="11.0"/>
        <u/>
      </rPr>
      <t>https://edvardmunch.vgs.no</t>
    </r>
    <r>
      <rPr>
        <rFont val="Calibri"/>
        <sz val="11.0"/>
      </rPr>
      <t xml:space="preserve"> </t>
    </r>
  </si>
  <si>
    <t>'+47 22 60 30 00</t>
  </si>
  <si>
    <t>info@edvardmunch.vgs.no</t>
  </si>
  <si>
    <t>Arts Focus</t>
  </si>
  <si>
    <t>NOR-17</t>
  </si>
  <si>
    <t>Hartvig Nissen Skole</t>
  </si>
  <si>
    <r>
      <rPr>
        <rFont val="Calibri"/>
        <color rgb="FF1155CC"/>
        <sz val="11.0"/>
        <u/>
      </rPr>
      <t>https://hartvig-nissen.vgs.no</t>
    </r>
    <r>
      <rPr>
        <rFont val="Calibri"/>
        <sz val="11.0"/>
      </rPr>
      <t xml:space="preserve"> </t>
    </r>
  </si>
  <si>
    <t>'+47 22 85 49 00</t>
  </si>
  <si>
    <t>info@hartvig-nissen.vgs.no</t>
  </si>
  <si>
    <t>NOR-18</t>
  </si>
  <si>
    <t>Sandnes VGS</t>
  </si>
  <si>
    <t>Kirkegata 19, 4306 Sandnes</t>
  </si>
  <si>
    <t>https://sandnesvgs.no</t>
  </si>
  <si>
    <t>'+47 51 68 97 00</t>
  </si>
  <si>
    <t>info@sandnesvgs.no</t>
  </si>
  <si>
    <t>NOR-19</t>
  </si>
  <si>
    <t>Ålesund VGS</t>
  </si>
  <si>
    <t>Ålesund</t>
  </si>
  <si>
    <t>Kongens gate 29, 6002 Ålesund</t>
  </si>
  <si>
    <r>
      <rPr>
        <rFont val="Calibri"/>
        <color rgb="FF1155CC"/>
        <sz val="11.0"/>
        <u/>
      </rPr>
      <t>https://alesund.vgs.no</t>
    </r>
    <r>
      <rPr>
        <rFont val="Calibri"/>
        <sz val="11.0"/>
      </rPr>
      <t xml:space="preserve"> </t>
    </r>
  </si>
  <si>
    <t>'+47 70 16 20 00</t>
  </si>
  <si>
    <t>info@alesund.vgs.no</t>
  </si>
  <si>
    <t>~400</t>
  </si>
  <si>
    <t>NOR-20</t>
  </si>
  <si>
    <t>Sandvika VGS</t>
  </si>
  <si>
    <t>Bærum</t>
  </si>
  <si>
    <t>Kjørbokollen 18, 1337 Sandvika</t>
  </si>
  <si>
    <r>
      <rPr>
        <rFont val="Calibri"/>
        <color rgb="FF1155CC"/>
        <sz val="11.0"/>
        <u/>
      </rPr>
      <t>https://sandvika.vgs.no</t>
    </r>
    <r>
      <rPr>
        <rFont val="Calibri"/>
        <sz val="11.0"/>
      </rPr>
      <t xml:space="preserve"> </t>
    </r>
  </si>
  <si>
    <t>'+47 67 80 21 00</t>
  </si>
  <si>
    <t>info@sandvika.vgs.no</t>
  </si>
  <si>
    <t>NOR-21</t>
  </si>
  <si>
    <t>Hersleb videregående skole</t>
  </si>
  <si>
    <t>https://hersleb.vgs.no/</t>
  </si>
  <si>
    <t>postmottak.Hersleb.vgs@osloskolen.no</t>
  </si>
  <si>
    <t xml:space="preserve">Bani Singh (M21) went to this high school, https://www.linkedin.com/in/banisgh/ </t>
  </si>
  <si>
    <t>NOR-22</t>
  </si>
  <si>
    <t>Elvebakken videregående skole</t>
  </si>
  <si>
    <r>
      <rPr>
        <rFont val="Arial"/>
      </rPr>
      <t xml:space="preserve">Simon Golombek (M21) went to this high school </t>
    </r>
    <r>
      <rPr>
        <rFont val="Arial"/>
        <color rgb="FF1155CC"/>
        <u/>
      </rPr>
      <t>https://www.linkedin.com/in/simon-i-golombek-571791122/</t>
    </r>
    <r>
      <rPr>
        <rFont val="Arial"/>
      </rPr>
      <t xml:space="preserve"> Sherington Amarapala (M20) also went to this high school </t>
    </r>
    <r>
      <rPr>
        <rFont val="Arial"/>
        <color rgb="FF1155CC"/>
        <u/>
      </rPr>
      <t>https://www.eventbrite.com/d/belgium--brussel--10471/free--events/eu/?page=1</t>
    </r>
    <r>
      <rPr>
        <rFont val="Arial"/>
      </rPr>
      <t xml:space="preserve"> </t>
    </r>
  </si>
  <si>
    <t>PRT-01</t>
  </si>
  <si>
    <t>St. Julian's School</t>
  </si>
  <si>
    <t>Portugal</t>
  </si>
  <si>
    <t>PRT</t>
  </si>
  <si>
    <t>Carcavelos</t>
  </si>
  <si>
    <t>Quinta Nova, 2775-588 Carcavelos</t>
  </si>
  <si>
    <t>www.stjulians.com</t>
  </si>
  <si>
    <t>+351 21 458 53 00</t>
  </si>
  <si>
    <t>info@stjulians.com</t>
  </si>
  <si>
    <t>IB Diploma, IGCSE, UK Nat. Curr.</t>
  </si>
  <si>
    <t>~400 (Sec. est.)</t>
  </si>
  <si>
    <t>Prestigious Private. High-fee. Expat &amp; affluent locals.</t>
  </si>
  <si>
    <t>~€18,000+</t>
  </si>
  <si>
    <t>Key target near Lisbon.</t>
  </si>
  <si>
    <t>SMR-01</t>
  </si>
  <si>
    <t>Scuola Superiore di San Marino</t>
  </si>
  <si>
    <t>San Marino</t>
  </si>
  <si>
    <t>SMR</t>
  </si>
  <si>
    <t>San Marino City</t>
  </si>
  <si>
    <t>Contrada Omerelli, 20, 47890</t>
  </si>
  <si>
    <t>www.superiori.educazione.sm</t>
  </si>
  <si>
    <t>+378 0549 882241</t>
  </si>
  <si>
    <t>segreteria.superiori@educazione.sm</t>
  </si>
  <si>
    <t>Sammarinese Maturità</t>
  </si>
  <si>
    <t>Main upper secondary school in San Marino.</t>
  </si>
  <si>
    <t>ESP-02</t>
  </si>
  <si>
    <t>American School of Madrid</t>
  </si>
  <si>
    <t>Spain</t>
  </si>
  <si>
    <t>ESP</t>
  </si>
  <si>
    <t>Madrid</t>
  </si>
  <si>
    <t>C. de la Viña, 3, 28223 Pozuelo de Alarcón</t>
  </si>
  <si>
    <t>www.asmadrid.org</t>
  </si>
  <si>
    <t>+34 91 740 19 00</t>
  </si>
  <si>
    <t>info@asmadrid.org</t>
  </si>
  <si>
    <t>US Diploma, IB Diploma</t>
  </si>
  <si>
    <t>~350 (HS est.)</t>
  </si>
  <si>
    <t>Elite. High-fee. Int'l &amp; Spanish elite.</t>
  </si>
  <si>
    <t>John McCracking</t>
  </si>
  <si>
    <t>johnmccracking@asmadrid.es</t>
  </si>
  <si>
    <t>Attended EdUSA Fair. Counselor difficult.</t>
  </si>
  <si>
    <t>Follow-up (Cautious)</t>
  </si>
  <si>
    <t>SWE-02</t>
  </si>
  <si>
    <t>Stockholm International School</t>
  </si>
  <si>
    <t>Sweden</t>
  </si>
  <si>
    <t>SWE</t>
  </si>
  <si>
    <t>Stockholm</t>
  </si>
  <si>
    <t>Johannesgatan 18, 111 38 Stockholm</t>
  </si>
  <si>
    <t>stockholmis.se</t>
  </si>
  <si>
    <t>+46 8 412 11 00</t>
  </si>
  <si>
    <t>info@stockholmis.se</t>
  </si>
  <si>
    <t>~300 (HS est.)</t>
  </si>
  <si>
    <t>High-fee. Central location, diverse int'l families.</t>
  </si>
  <si>
    <t>~SEK 150k (€13k+)</t>
  </si>
  <si>
    <t>CHE-01</t>
  </si>
  <si>
    <t>Institut Le Rosey</t>
  </si>
  <si>
    <t>Switzerland</t>
  </si>
  <si>
    <t>CHE</t>
  </si>
  <si>
    <t>Rolle/Gstaad</t>
  </si>
  <si>
    <t>Château du Rosey, 1180 Rolle</t>
  </si>
  <si>
    <t>www.rosey.ch</t>
  </si>
  <si>
    <t>+41 21 822 55 00</t>
  </si>
  <si>
    <t>rosey@rosey.ch</t>
  </si>
  <si>
    <t>IB Diploma, French Bac</t>
  </si>
  <si>
    <t>~420 (Total)</t>
  </si>
  <si>
    <t>World's most expensive boarding school. Royalty/HNWI.</t>
  </si>
  <si>
    <t>~CHF 130k+ (€135k+)</t>
  </si>
  <si>
    <t>Bilingual (EN/FR), Boarding</t>
  </si>
  <si>
    <t>Directeur des Etudes</t>
  </si>
  <si>
    <t>Ultimate high-paying target.</t>
  </si>
  <si>
    <t>GBR-01</t>
  </si>
  <si>
    <t>UWC Atlantic</t>
  </si>
  <si>
    <t>United Kingdom</t>
  </si>
  <si>
    <t>GBR</t>
  </si>
  <si>
    <t>Llantwit Major</t>
  </si>
  <si>
    <t>St Donat's Castle, CF61 1WF</t>
  </si>
  <si>
    <t>www.uwcatlantic.org</t>
  </si>
  <si>
    <t>+44 1446 799 000</t>
  </si>
  <si>
    <t>universityguidance@uwcatlantic.org</t>
  </si>
  <si>
    <t>~350 (Total)</t>
  </si>
  <si>
    <t>UWC. &gt;65% on FinAid. Highly selective, global.</t>
  </si>
  <si>
    <t>Full Fee ~£38k</t>
  </si>
  <si>
    <t>UWC Mission, Boarding</t>
  </si>
  <si>
    <t>Francine Mohammed</t>
  </si>
  <si>
    <t>Head of Uni Guidance</t>
  </si>
  <si>
    <t>(9/10). Amazing students.</t>
  </si>
  <si>
    <t>High Priority Follow-up</t>
  </si>
  <si>
    <t>VAT-NONE</t>
  </si>
  <si>
    <t>Vatican City</t>
  </si>
  <si>
    <t>VAT</t>
  </si>
  <si>
    <t>Ecclesiastical state. No standard high school system.</t>
  </si>
  <si>
    <t>{
  "ambassador": {
    "name": "Linnea Moritz",
    "title": "Alumni Ambassador, Western Europe",
    "email": "linnea.moritz@uni.minerva.edu",
    "calendly": "https://calendly.com/linnea-moritz-uni",
    "region": "Western Europe (Sweden-based)",
    "base_country": "Sweden",
    "graduation": "May 2021"
  },
  "university": {
    "name": "Minerva University",
    "website": "https://www.minerva.edu/",
    "about": "Minerva is an accredited U.S. university providing an experiential learning program across multiple countries in 4 years using the Science of Learning in its fully active learning interdisciplinary curriculum. One that does not require standardized tests and offers need-based financial aid.",
    "accreditation": "Fully accredited by the Western Senior Commission on Universities and Colleges (WASC) - the same accrediting body as Stanford and UC Berkeley",
    "city_rotation": {
      "intro": "Over four years, you'll live on four continents, each offering distinct opportunities to grow.",
      "year_1": {
        "city": "San Francisco",
        "description": "A vibrant hub of innovation and social change."
      },
      "year_2": {
        "city": "Tokyo",
        "description": "Where tradition meets cutting-edge technology."
      },
      "years_3_and_4": {
        "description": "Cities change annually–past rotation cities include Berlin, Buenos Aires, Hyderabad, Taipei, Seoul, and London, each with unique histories and systems that expand your perspective and sharpen your skills."
      }
    },
    "current_cities": ["San Francisco", "Tokyo"],
    "past_rotation_cities": ["Berlin", "Buenos Aires", "Hyderabad", "Taipei", "Seoul", "London"],
    "tagline": "Would you like to live in global hubs like San Francisco, Buenos Aires, Hyderabad, Tokyo and Seoul throughout college? What would it be like in a class where your professor only talks for 2-3 minutes at a time with no lectures and no tests?",
    "pragmatic_liberal_arts": "Applied knowledge is at the core of Minerva's curriculum. Every class is a small seminar centered on intensive discussion and debate. Minerva students develop critical and creative thinking skills through active learning, not memorization and lectures.",
    "real_world_experience": "Every student receives life-long career support. We work to help students define their passions, curate networks for internships and jobs, and build career skills to excel in the professional world. Students have interned at companies such as Accenture, Apple, Amazon, CNN Global, Google, Mistletoe, United Nations, Siemens, Twitter, and many more.",
    "global_understanding": "Living in cities across the world over four continents, Minerva students do not merely study diverse cultures, they experience them firsthand. Learning transcends the classroom, as with each new location, curated partnerships give students first-hand experience applying the concepts they learn in class to a variety of real world contexts and situations.",
    "accessibility": "Our application is completely free and does not require standardized test results to enable anyone interested with the opportunity to apply. Minerva offers need-based financial aid to help all admitted students to attend, including international students."
  },
  "admissions": {
    "acceptance_rate": "Less than 3%",
    "application_fee": "Free - no application fee",
    "test_optional": "No SAT, ACT, TOEFL, IELTS, or other standardized tests required",
    "requirements": [
      "Must be over 16 years old",
      "Official transcripts from most recent 3 years",
      "School counselor form and submission",
      "Complete admissions challenges (Part 2)",
      "Accomplishments section (Part 3)"
    ],
    "unique_process": "Minerva's admissions process evaluates how you think through interactive challenges, not just test scores or essays",
    "application_url": "https://www.minerva.edu/apply/"
  },
  "majors": [
    "Arts &amp; Humanities",
    "Business",
    "Computational Sciences",
    "Natural Sciences",
    "Social Sciences"
  ],
  "key_features": [
    "Small seminars centered on intensive discussion and debate (fewer than 20 students)",
    "Professors talk for only 2-3 minutes at a time - no lectures and no tests",
    "Live on 4 continents over 4 years",
    "Year 1 in San Francisco - hub of innovation and social change",
    "Year 2 in Tokyo - where tradition meets cutting-edge technology",
    "Years 3 &amp; 4 cities change annually (past cities: Berlin, Buenos Aires, Hyderabad, Taipei, Seoul, London)",
    "All classes conducted on Forum - proprietary active learning platform",
    "Curriculum based on the Science of Learning",
    "Applied knowledge and active learning, not memorization",
    "Free application with no standardized test requirement",
    "Need-based financial aid for all students, including international",
    "Life-long career support and curated internship networks",
    "Civic partnership projects in every city"
  ],
  "tuition_and_costs": {
    "annual_tuition": "$29,800 per year",
    "comparison": "Under one-third the cost of other top private U.S. universities",
    "estimated_housing": "Approximately $18,400 per year (varies by city)",
    "student_services_fee": "Approximately $2,400 per year",
    "note": "Numbers are approximate and subject to change"
  },
  "financial_aid": {
    "available": true,
    "for_international": true,
    "type": "Need-based",
    "application_fee": "Free - no application fee",
    "note": "No merit-based aid or full-ride scholarships. All students expected to contribute base Family Contribution.",
    "css_profile_required": true,
    "additional_costs": "Air tickets, health insurance, and visa fees must be covered independently"
  },
  "what_minerva_looks_for": [
    "Curious, globally-minded students driven to learn",
    "Initiative, intellectual agility, and raw potential",
    "Deep commitment to making positive impact on the world",
    "Collaborative spirit in tackling global challenges",
    "Academic excellence and areas of passion",
    "Leadership potential and innovative thinking",
    "Maturity to navigate diverse cities and cultures"
  ],
  "internship_companies": [
    "Accenture",
    "Apple",
    "Amazon",
    "CNN Global",
    "Google",
    "Mistletoe",
    "United Nations",
    "Siemens",
    "Twitter"
  ],
  "territory": [
    "Austria",
    "Belgium",
    "Denmark",
    "Finland",
    "France",
    "Germany",
    "Ireland",
    "Italy",
    "Luxembourg",
    "Netherlands",
    "Norway",
    "Portugal",
    "Spain",
    "Sweden",
    "Switzerland",
    "United Kingdom"
  ]
}</t>
  </si>
  <si>
    <t>Day of the week</t>
  </si>
  <si>
    <t>Date</t>
  </si>
  <si>
    <t>Venue</t>
  </si>
  <si>
    <t>Name of the event</t>
  </si>
  <si>
    <t>Friday</t>
  </si>
  <si>
    <t>Today</t>
  </si>
  <si>
    <t>Saturday</t>
  </si>
  <si>
    <t>Sunday</t>
  </si>
  <si>
    <t>Travel to london with airplane</t>
  </si>
  <si>
    <t>Monday</t>
  </si>
  <si>
    <t>Essex School Visit</t>
  </si>
  <si>
    <t>Tuesday</t>
  </si>
  <si>
    <t>From here where do i Go? brussels?</t>
  </si>
  <si>
    <t>Wednesday</t>
  </si>
  <si>
    <t>Thursday</t>
  </si>
  <si>
    <t>7th of November</t>
  </si>
  <si>
    <t>Fars dag, alla ska till småland, kan inte åka till Flekke då</t>
  </si>
  <si>
    <t>14th of November</t>
  </si>
  <si>
    <t>Visit RCN, cause then that is over with, and I can spend the rest of the month around southern Europe</t>
  </si>
  <si>
    <t>Travel to Berlin with Snälltåget</t>
  </si>
  <si>
    <t>Berlin</t>
  </si>
  <si>
    <t>Maybe visit to the berlin school, or why not on the thursday or friday before? let me email them and ask if they are free</t>
  </si>
  <si>
    <t>23rd of november</t>
  </si>
  <si>
    <t>berlin professors visit on the sunday</t>
  </si>
  <si>
    <t xml:space="preserve">So i dont want to be in Norway then. Okay good. </t>
  </si>
  <si>
    <t>Maybe visit to the berlin school, or why not on the thursday or friday before? let me email them and ask if they are free. on the evening fly to uwc adriatic</t>
  </si>
  <si>
    <t>25th of November then is potential visit to UWC Adriatic, and then I will be in Berlin before that on November 23, and then maybe go from Berlin to UWC Adriatic.</t>
  </si>
  <si>
    <t>Potential Evening Visit to UWC Adriatic</t>
  </si>
  <si>
    <t>Visit Vienna Schools and other Vienna Schools?</t>
  </si>
  <si>
    <t>Visit Prague???</t>
  </si>
  <si>
    <t>Fly to Mexico City for a few days</t>
  </si>
  <si>
    <t>Mexico City</t>
  </si>
  <si>
    <t>EventName</t>
  </si>
  <si>
    <t>ChecklistItem</t>
  </si>
  <si>
    <t>Status</t>
  </si>
  <si>
    <t>Netherlands College Night</t>
  </si>
  <si>
    <t>Email schools in the area</t>
  </si>
  <si>
    <t>Look at flights and hotels</t>
  </si>
  <si>
    <t>Framtidsmässan</t>
  </si>
  <si>
    <t>Column Name</t>
  </si>
  <si>
    <t>Data Type</t>
  </si>
  <si>
    <t>Mandatory/Optional</t>
  </si>
  <si>
    <t>Purpose</t>
  </si>
  <si>
    <t>Acceptable Values (ENUM/List)</t>
  </si>
  <si>
    <t>Example Values</t>
  </si>
  <si>
    <t>UNIQUE ID</t>
  </si>
  <si>
    <t>MANDATORY</t>
  </si>
  <si>
    <t>Unique identifier. Format: [Country Code]-[Sequential Number]</t>
  </si>
  <si>
    <t>N/A (Generated)</t>
  </si>
  <si>
    <t>TEXT</t>
  </si>
  <si>
    <t>The full, official name of the high school.</t>
  </si>
  <si>
    <t>Free Text</t>
  </si>
  <si>
    <t>The full name of the country.</t>
  </si>
  <si>
    <t>Andorra, Antarctica, Austria, Belgium, Bonaire, Saint Eustatius &amp; Saba, British Indian Ocean Territory, Denmark, Faroe Islands, Finland, France, Germany, Gibraltar, Greenland, Guernsey, Iceland, Ireland (Republic), Italy, Jersey, Liechtenstein, Luxembourg, Malta, Monaco, Netherlands, Norway, Portugal, San Marino, Spain, Sweden, Switzerland, United Kingdom, Vatican City</t>
  </si>
  <si>
    <t>Country Code (New)</t>
  </si>
  <si>
    <t>The 3-letter country code. Standard: ISO 3166-1 alpha-3</t>
  </si>
  <si>
    <t>AND, ATA, AUT, BEL, BES, IOT, DNK, FRO, FIN, FRA, DEU, GIB, GRL, GGY, ISL, IRL, ITA, JEY, LIE, LUX, MLT, MCO, NLD, NOR, PRT, SMR, ESP, SWE, CHE, GBR, VAT</t>
  </si>
  <si>
    <t>The city where the school is located.</t>
  </si>
  <si>
    <t xml:space="preserve">The school's primary physical street address. If there is no address listed find the address on the internet. </t>
  </si>
  <si>
    <t>Strategic Priority Tier</t>
  </si>
  <si>
    <t>ENUM (Tier)</t>
  </si>
  <si>
    <t>The fixed strategic tier for the school (Tier A+ is the highest). You are absolutely right. My apologies. The prompt clearly stated Strategic Priority Tier is MANDATORY, and "N/A - User Defined" doesn't fulfill that requirement, especially when you've given clear criteria.
I need to act like the data strategist and make informed decisions based on the available data. Let's assign those priority tiers now based on your goals: finding students who are a good fit for Minerva (international outlook, strong academics) and likely able to pay (higher tuition, private status, affluent context).
Here's the logic I'll use:
A+/A: High-fee private international schools (e.g., ASP, ISP, Ermitage, IBS Provence, SVIS), schools known for extreme wealth (like Le Rosey, though not on this list), prestigious public international lycées with strong sections and proven engagement (Saint-Germain-en-Laye, potentially Georges Duby based on workshop).
B: Mid-to-high fee private schools (e.g., Jeannine Manuel, Saint-Dominique), other strong private internationals (BSP, Bordeaux IS), highly selective public lycées with international sections (Henri IV, Louis-le-Grand).
C: Public lycées with established OIB/BFI sections (e.g., Ferney-Voltaire, Valbonne, Pontonniers, Montebello, Charles-de-Gaulle, LIEP, Lucie-Aubrac, Camille Sée, Balzac), mid-range private schools with sections (Saint-Vincent Providence).
D: Public lycées with European sections but less international focus, schools primarily focused on younger grades (Marymount, Forest Int'l), schools where fit/context is less clear (Cévenol).
E/N/A: Schools with insufficient data or primarily national focus.</t>
  </si>
  <si>
    <t>A+, A, B, C, D, E, N/A</t>
  </si>
  <si>
    <t>URL</t>
  </si>
  <si>
    <t>The school's main website URL. MUST include the full protocol (http:// or https://).</t>
  </si>
  <si>
    <t>Full URL (e.g., https://www.example.org)</t>
  </si>
  <si>
    <t>https://www.katedralskolen.dk</t>
  </si>
  <si>
    <t>TEXT (STRING)</t>
  </si>
  <si>
    <t>OPTIONAL</t>
  </si>
  <si>
    <t>The school's main telephone contact number. MUST be stored as text to preserve the international dialing code (e.g., +45). Great! 
For the School Phone Number column in your Data_Schema:
Keep it as Text: Always treat the phone number as a text string, not a number. This prevents Google Sheets from trying to calculate it or dropping the leading +.
Include the +: Make sure the international dialing code (like +33 for France) is always included.
Keep Formatting: Preserve any spaces or hyphens you find in the original number (e.g., +33 1 44 41 21 21). This also helps ensure it's treated as text.
When you pasted the last table, Google Sheets likely recognized the format (with the + and spaces) and automatically treated it as text, which is exactly what we want. If you ever run into issues when pasting phone numbers, you can select the whole column in Google Sheets, go to Format -&gt; Number -&gt; Plain text to force it to treat the values correctly.</t>
  </si>
  <si>
    <t>Starts with + and includes spaces/hyphens</t>
  </si>
  <si>
    <t>+45 33 44 55 66</t>
  </si>
  <si>
    <t>A general administrative email address.</t>
  </si>
  <si>
    <t>Valid Email Format</t>
  </si>
  <si>
    <t>adm@katedralskolen.dk</t>
  </si>
  <si>
    <t>ENUM (Status)</t>
  </si>
  <si>
    <t>Identifies the school's international standing.</t>
  </si>
  <si>
    <t>IB World School, IB Continuum, International, National</t>
  </si>
  <si>
    <t>The type of diploma offered.</t>
  </si>
  <si>
    <t>IB DP, IB Continuum, European Baccalaureate (EB), A-Levels (UK), Scottish Highers, French Baccalauréat, German Abitur, Austrian Matura, Italian Maturità, Spanish Bachillerato, Dutch VWO Diploma, Danish Studentereksamen (STX), Swedish Gymnasieexamen (Gy.), Norwegian Vitnemål, Finnish Ylioppilastutkinto, Irish Leaving Certificate, Swiss Maturität, US High School Diploma</t>
  </si>
  <si>
    <t>IB DP / Danish STX</t>
  </si>
  <si>
    <t>NUMBER</t>
  </si>
  <si>
    <t>Estimated number of students in high school (Ages 16-19).</t>
  </si>
  <si>
    <t>Integer</t>
  </si>
  <si>
    <t>Notes on the school's general student profile.</t>
  </si>
  <si>
    <t>Rich Boarding School</t>
  </si>
  <si>
    <t>The annual cost for a student. Must be entered in EUROS (€).</t>
  </si>
  <si>
    <t>Numeric</t>
  </si>
  <si>
    <t>Key recruiting characteristics.</t>
  </si>
  <si>
    <t>Very good tech IB School</t>
  </si>
  <si>
    <t>Full name of the main counselor or liaison.</t>
  </si>
  <si>
    <t>Lisa Knapp</t>
  </si>
  <si>
    <t>The contact's professional title.</t>
  </si>
  <si>
    <t>The specific email address for the primary contact.</t>
  </si>
  <si>
    <t>lisa.knapp@katedralskolen.dk</t>
  </si>
  <si>
    <t>Tracks the stage of your relationship.</t>
  </si>
  <si>
    <t>Contacted, Responded, Partnership Agreed, Dormant</t>
  </si>
  <si>
    <t>The method used for the last outreach.</t>
  </si>
  <si>
    <t>Email, Call, Event, N/A</t>
  </si>
  <si>
    <t>DATE</t>
  </si>
  <si>
    <t>The date of the most recent interaction.</t>
  </si>
  <si>
    <t>Month Day, YYYY</t>
  </si>
  <si>
    <t>Indicates whether the school has replied to the last contact.</t>
  </si>
  <si>
    <t>Yes, Not yet</t>
  </si>
  <si>
    <t>A short, descriptive note about the last activity.</t>
  </si>
  <si>
    <t>Emailed Lisa Knapp with Minerva prospectus.</t>
  </si>
  <si>
    <t>NUMBER (Rating)</t>
  </si>
  <si>
    <t>Customization Level: Rating of how personalized the last email was (1=Generic, 5=Highly customized).</t>
  </si>
  <si>
    <t>1, 2, 3, 4, 5</t>
  </si>
  <si>
    <t>Data cleanup indicator.</t>
  </si>
  <si>
    <t>Yes (from old data), No (new school)</t>
  </si>
  <si>
    <t>TEXT (Action)</t>
  </si>
  <si>
    <t xml:space="preserve">Action and Specific Date: The next required action with a concrete date. If there isn't a next step, come up with an appropriate next step. </t>
  </si>
  <si>
    <t>Free Text with Specific Action and Date</t>
  </si>
  <si>
    <t>Follow up with Lisa Knapp (Minerva presentation) on Oct 27, 2025</t>
  </si>
  <si>
    <t>Name of Event/school visit</t>
  </si>
  <si>
    <t>Month</t>
  </si>
  <si>
    <t>Year</t>
  </si>
  <si>
    <t>School-venue</t>
  </si>
  <si>
    <t>Lead doc</t>
  </si>
  <si>
    <t>How many leads did we get?</t>
  </si>
  <si>
    <t>Type of students and their interests</t>
  </si>
  <si>
    <t>Type of Event/Conference, school</t>
  </si>
  <si>
    <t xml:space="preserve">Contact person </t>
  </si>
  <si>
    <t>Their contact email</t>
  </si>
  <si>
    <t>Rating? 1-10</t>
  </si>
  <si>
    <t>Description of school/venue</t>
  </si>
  <si>
    <t>Overall impression</t>
  </si>
  <si>
    <t>Anything cool happened?</t>
  </si>
  <si>
    <t>What did I do? Presentation, met councelor, met parents, etc</t>
  </si>
  <si>
    <t>Are we invited to come back this year?</t>
  </si>
  <si>
    <t>Followed up this year? (august 2025)</t>
  </si>
  <si>
    <t>Photo 1</t>
  </si>
  <si>
    <t>Photo 2</t>
  </si>
  <si>
    <t>Photo 3</t>
  </si>
  <si>
    <t>NSAC</t>
  </si>
  <si>
    <t>Sep</t>
  </si>
  <si>
    <t>Danmark</t>
  </si>
  <si>
    <t>Klub, located on Linnésgade 25, 1361 Copenhagen</t>
  </si>
  <si>
    <t>Maybe 10</t>
  </si>
  <si>
    <t>Marine Biologoy (Copenhagen is a coastal City). Psychology</t>
  </si>
  <si>
    <t>Good event. Talked extensively with students, had lunch and dinner with students, very social event. Unfortantely there were as many volunteers and student experts as prospective students, they got students to come there but I think they should have had more students. Students had to apply AND pay to be able to go to this event which I think was a bit rude/strange/gatekeeping of resources.</t>
  </si>
  <si>
    <t>Another Minervan, Marcus from Denmark was there and was on a panel discussion.</t>
  </si>
  <si>
    <t>I gave a presentation, I had a table.</t>
  </si>
  <si>
    <t>Don't know, we didn't talk about it</t>
  </si>
  <si>
    <t>Mini Fair</t>
  </si>
  <si>
    <t>The United Kingdom</t>
  </si>
  <si>
    <t>London</t>
  </si>
  <si>
    <t>Wetherby Senior School, 100 Marylebone Lane, London, W1U 2QU</t>
  </si>
  <si>
    <t>Not that many</t>
  </si>
  <si>
    <t>I don't remember</t>
  </si>
  <si>
    <t>Mini fair at private school</t>
  </si>
  <si>
    <t>Event venue at their school.</t>
  </si>
  <si>
    <t xml:space="preserve">It was okay, nothing too memorable. It was free so that was good. The school was a non profit and cheaper than other private schools in London, so they were more interested in Financial Aid. </t>
  </si>
  <si>
    <t xml:space="preserve">Stood at a table at their school, met students and teachers. </t>
  </si>
  <si>
    <t xml:space="preserve">Yes, I hope so. Also reach out to Egham, they apparantly had another fair before us. Also reach out to the American School of London, they had a fair in the morning of the Education USA event so most of the councelors also went to that Educational Fair. </t>
  </si>
  <si>
    <t>100 Marylebone Lane, London, W1U 2QU</t>
  </si>
  <si>
    <t>Finance, entrepreneurship</t>
  </si>
  <si>
    <t xml:space="preserve">All the students at this school absoloutely loved us! They love programming, startups, entrepreneurship, and I had a long row of students, it seemed like they all loved Minerva more than the other colleges that were there. All the students had school uniforms and very super polite and asked great questions. </t>
  </si>
  <si>
    <t xml:space="preserve">Very good mini fair, the representative there said that maybe we should organize a hackathon together. </t>
  </si>
  <si>
    <t xml:space="preserve">We should go there again, I should try to do an event with them if I go back to London. </t>
  </si>
  <si>
    <t>College Day London, 2 day event</t>
  </si>
  <si>
    <t>Kensington Conference and Event Centre Hornton St, London, W8 7NX</t>
  </si>
  <si>
    <t>Many</t>
  </si>
  <si>
    <t>Journalism, Mathematics, Antropology, Criminology, Mechanical Engineering, History, Pre Law.</t>
  </si>
  <si>
    <t xml:space="preserve">Event for students from all over the UK. </t>
  </si>
  <si>
    <t>Big venue, at a conference center</t>
  </si>
  <si>
    <t xml:space="preserve">They had a partnership with The Sutton Trust Fulbright US Programme - some students had yellow backpacks, and they were brilliant fantastic students who all needed financial aid, its a special program to support underpriviledged fantastic students in the U.K to study in the U.S. All the Sutton Trust students I spoke to were super smart and would all get accepted to Minerva. The other students were also really great. </t>
  </si>
  <si>
    <t xml:space="preserve">Used Strive scan app, it was super useful. In that way I could get many leads, and it was very time efficient. </t>
  </si>
  <si>
    <t>Table, met students, parents, teachers, and school councelors</t>
  </si>
  <si>
    <t xml:space="preserve">I think we should do this one again. </t>
  </si>
  <si>
    <t xml:space="preserve">College Night Brussels </t>
  </si>
  <si>
    <t>International School of Brussels, Kattenberg 19, 1170 Watermael-Boitsfort, Belgium</t>
  </si>
  <si>
    <t>Some</t>
  </si>
  <si>
    <t xml:space="preserve">International Relations, very popular in Brussels in general. The students there seemed very comfortable with travel, since a lot of their parents work at the European Parliament or Nato. Most of the students I spoke to were international, so not from Belgium at all. They were also some (2) beligan students there who had travelled there from another city. </t>
  </si>
  <si>
    <t xml:space="preserve">International School of Brussels school. </t>
  </si>
  <si>
    <t xml:space="preserve">Not that many students, but the conversations I did have with students and parents were really good. There were study councelors there from other Belgian schools, so I finally got to meet in person the people that had ghosted my emails. </t>
  </si>
  <si>
    <t xml:space="preserve">The US embassy was there. </t>
  </si>
  <si>
    <t xml:space="preserve">Yes, I like this school. Its not that many students, but I think their profile fit with Minerva really well. </t>
  </si>
  <si>
    <t>College Night Netherlands</t>
  </si>
  <si>
    <t>October</t>
  </si>
  <si>
    <t>Utrecht</t>
  </si>
  <si>
    <t>Jaarbeursplein 6, 3521 AL Utrecht</t>
  </si>
  <si>
    <t>Not many at all</t>
  </si>
  <si>
    <t>They wanted to study Medicine, Pre medicine, mechanical engineering, finance</t>
  </si>
  <si>
    <t xml:space="preserve">Big fancy conference space, it was hard to get to without a bicycle, The venue was way too big and fancy for this type of event. </t>
  </si>
  <si>
    <t>Very low turnout. The U.S government shut down on that date so it was not a good event. The U.S ambassadors were supposed to come but they weren't allowed to work. I didn't speak to many students at all.</t>
  </si>
  <si>
    <t>The director of education usa western europe was there, his name is Charlie. He is very friendly.</t>
  </si>
  <si>
    <t xml:space="preserve">Yes, but consider if its worth it cause such few students came this year. </t>
  </si>
  <si>
    <t>British International School fo the Netherlands - School visit</t>
  </si>
  <si>
    <t>The Hague</t>
  </si>
  <si>
    <t>British School in the Netherlands, Vrouw Avenweg 422, 2493 WX Den Haag, Netherlands</t>
  </si>
  <si>
    <t>Like 1 maybe</t>
  </si>
  <si>
    <t>Marine Biologoy (The Hague is a coastal City)</t>
  </si>
  <si>
    <t xml:space="preserve">I was there in the lobby with another representative from Contra Costa Colleges, and we spoke to students in between classes. </t>
  </si>
  <si>
    <t xml:space="preserve">Table at a walkway/corridor between classes. </t>
  </si>
  <si>
    <t xml:space="preserve">Bonus points because it was free. I was there with another Californian institution, and the person who welcomed us to the school was very friendly and she stood with us and told students to go and talk to us. I met 1 great student, I told her to apply. They had a education conference the day before with over 50 Universities from all countries, including the U.S, so that is why the traffic to the Education USA event was so low, because they scheduled it on the same day. I got invited to go to their School fair next September, and she said she will send me an invitaiton email in May 2026. </t>
  </si>
  <si>
    <t xml:space="preserve">Met the councelor and met students in between classes. </t>
  </si>
  <si>
    <t>Yes, she specifically told me to</t>
  </si>
  <si>
    <t>UWC Maastricht</t>
  </si>
  <si>
    <t>Maastricht</t>
  </si>
  <si>
    <t>Discusworp 65, 6225 XP Maastricht, Netherlands</t>
  </si>
  <si>
    <t>4, but they didnt give me their info</t>
  </si>
  <si>
    <t xml:space="preserve">They wanted to study economics, sustainability, music. They asked good questions. </t>
  </si>
  <si>
    <t>I gave a presentation about Minerva, there was also another presenter there who gave a presentaiton. After the presentation there was a Q&amp;A, and also I had a 45 min individual talk with a student.</t>
  </si>
  <si>
    <t>Presentation + Individual Meeting with Student</t>
  </si>
  <si>
    <t>Kind of low energy. Weird that they dont want to have an annual university fair. There were 4 college councelors at the school which was a bit confusing, cause most schools just have 1 college councelor. They said that their students were behind in the cycle this year, and that almost no students had started to apply. Which is weird cause why haven't the 4 student councelors pushed the students more?</t>
  </si>
  <si>
    <t>Presentation and individual meeting with students</t>
  </si>
  <si>
    <t>They said they never do college fairs, but instead they mostly just had colleges pass by and give presentations. They had a student who had graduated who is now in Japan who is applying to Minerva, i should probably reach out and ask for that students contact and ask if they need any help before the application.</t>
  </si>
  <si>
    <t>Vilseck International School</t>
  </si>
  <si>
    <t>Vilseck International School, Südlager 2232, 92249 Vilseck, Germany</t>
  </si>
  <si>
    <t>It was hard to get to</t>
  </si>
  <si>
    <t xml:space="preserve">The marine corps were there, the red cross, other military branches, a lot of american universities. Great fit, as a lot of those students grew up in the military and they would like to continue a life where they live abroad and keep on moving. They were especially interested in the fact that Minerva campuses are so central in the cities, they seemed to be very tired of living at their sheltered and remote military base. The parents and the students were very positive about the freedom students have at Minerva, and the parents thought Minerva sounded like a great concept. Overall great receiption. Talked equally much to students and parents. </t>
  </si>
  <si>
    <t xml:space="preserve">School fair at a remote U.S Military Base, it was a U.S High School. </t>
  </si>
  <si>
    <t xml:space="preserve">Yes, they would love to come back next year, she also wanted me to send an email with more info about Minerva. But it was very hard to get to this school, so if we should do it again we should combine it with other school visits. </t>
  </si>
  <si>
    <t>Essex School</t>
  </si>
  <si>
    <t>Novemebr</t>
  </si>
  <si>
    <t>Essex</t>
  </si>
  <si>
    <t>UWC Red Cross Nordic</t>
  </si>
  <si>
    <t>UWC Red Cross Nordic Flekke, Norway</t>
  </si>
  <si>
    <t>UWC Trieste</t>
  </si>
  <si>
    <t>UWC Trieste, Via Trieste 29, 34011 Duino-Aurisina, Trieste, Italy</t>
  </si>
  <si>
    <t>September</t>
  </si>
  <si>
    <t>https://docs.google.com/spreadsheets/d/18wn4lXXBR1oJlPbPvrI8XG1AxS15itmqgcC837GjfC8/edit?gid=0#gid=0</t>
  </si>
  <si>
    <t>Sustainability and social progress</t>
  </si>
  <si>
    <t xml:space="preserve">Study abroad conference, targeting students from all areas of copenhagen and denmark. They did a lot of marketing! </t>
  </si>
  <si>
    <t xml:space="preserve">Gorgeous big classical building, a lot of pillars and statues. Multiple rooms. Amazing representatives from great schools, Oxford, LSE, Stanford. The representatives were grouped into various smaller rooms so it was easier to have long conversations with students. It wasn't super loud in those rooms, so it was easy to communicate. They had outlets. We were set up next to a window, and next to the british representatives. Event: Very good planning, a natural flow of activities, a good mixture of panel discussions, students knew where to be and when. It seemed like everyone was friends, everyone was super excited for the future and optimisitic. </t>
  </si>
  <si>
    <t>In general, Danish students are pretty anarchist and they all wanna take gap years / they have a very alternative view on education. Meaning that a few danish students absolutely love Minerva, whereas some other students are not interested at all (more interested in studying fine art, or something more creative/practical).</t>
  </si>
  <si>
    <t xml:space="preserve">Minerva student gave a long presentation about Minerva (Matthias). It was good and well targeted to the danish audience </t>
  </si>
  <si>
    <t>Met students</t>
  </si>
  <si>
    <t>We are going again in fall 2025</t>
  </si>
  <si>
    <t>Education USA Madrid</t>
  </si>
  <si>
    <t>https://docs.google.com/spreadsheets/d/18Bq8RkUPD3rrPq_kl920ylpv6x3JL4bjtSUM_p1fveE/edit?gid=0#gid=0</t>
  </si>
  <si>
    <t>The audience skewed heavily towards post-graduate inquiries, with broad undergraduate interest across arts, sciences, and business; notably, the undergraduate leads we did engage were of exceptionally high quality, including proactive contacts like a parent advocate and a student volunteer.</t>
  </si>
  <si>
    <t>Education USA Conference</t>
  </si>
  <si>
    <t>Melody</t>
  </si>
  <si>
    <t>EducationUSA Spain For more information, please visit: EducationUSA Spain</t>
  </si>
  <si>
    <t xml:space="preserve">Inside, a conference/event venue, seems like it was inside of a hotel. Very fancy venue. We got nice food. There was a lot of Education USA representatives and they had their own tables. The hosts were friendly and went around to all of the tables and gave us handshakes and were very polite. </t>
  </si>
  <si>
    <t>A lot of people were interested in a masters degree. I met a lot of parents and councelors, not only students which was great. A lot of parents and students were positive about studying in the USA, a bit thing seemed to be that they wanted to learn English + Make contacts with people who speak english. Being fluent/good in english seems to be a very sought after trait in Spain. A lot of students were there, 400-500 or so.</t>
  </si>
  <si>
    <t xml:space="preserve">Got business cards from school councelors. </t>
  </si>
  <si>
    <t>Met students and parents and councelors</t>
  </si>
  <si>
    <t>Yes, but we are not going due to budget constraints</t>
  </si>
  <si>
    <t>We are not going again</t>
  </si>
  <si>
    <t>Amsterdam International School</t>
  </si>
  <si>
    <t>November</t>
  </si>
  <si>
    <t>Amsterdam</t>
  </si>
  <si>
    <t>Sportlaan 45, 1185 TB Amstelveen, Netherlands</t>
  </si>
  <si>
    <t>https://docs.google.com/spreadsheets/d/1r00NYWOAWm_lEKRl7BPyv0hpjpc2caLjDD4E3PKuhBc/edit?gid=0#gid=0</t>
  </si>
  <si>
    <t xml:space="preserve">Student interest was heavily skewed towards business and STEM, with a secondary focus on humanities and leadership. Student were very good at speaking english. Mostly international students were interested in Minerva, not so many of the dutch students. </t>
  </si>
  <si>
    <t>International School Conference</t>
  </si>
  <si>
    <r>
      <rPr>
        <rFont val="Arial"/>
      </rPr>
      <t xml:space="preserve">Tami Albrecht | High School Counselor (Grade 11/12 A-K) Office 180J she/her/hers The International School of Amsterdam Visitor Address | Sportlaan 45 | 1185 TB Amstelveen | the Netherlands Postal Address | P.O. Box 920 | 1180 AX Amstelveen | the Netherlands Phone: +31 20 347 1111 talbrecht@isa.nl | </t>
    </r>
    <r>
      <rPr>
        <rFont val="Arial"/>
        <color rgb="FF1155CC"/>
        <u/>
      </rPr>
      <t>www.isa.nl</t>
    </r>
  </si>
  <si>
    <t>talbrecht@isa.nl</t>
  </si>
  <si>
    <t xml:space="preserve">Very big campus, I remember I got lost walking there. Big sports center, a lot of younger students, a lot of security to get into the building. The University fair was inside the sports gymnasium. It wasn't that many universities there, maybe 20-30 max. </t>
  </si>
  <si>
    <t>The fair was only 2 hours, so it wasn't super worth it. It seemed like there was mostly, or only students from their School. Not so many students, maybe 100-200.</t>
  </si>
  <si>
    <t>I met a student who ran a cool solar panel startup and he gave me a mug from his startup, he was very interesting and I should reach out to him again.</t>
  </si>
  <si>
    <t xml:space="preserve">Not really worth it to be honest, it didn't sem like they had marketed it to students from other schools. Seemed like a very private event. Seems hard to compete with Dutch Universities, as there are also so many english-speaking degrees you can get in the Netherlands. </t>
  </si>
  <si>
    <t>Invited to a fair in Fall 2025</t>
  </si>
  <si>
    <t xml:space="preserve">alena@minerva.edu here is more info about the Amsterdam International School event from November last year </t>
  </si>
  <si>
    <t>Framtidsmässan 2025. Hosted at International School of Helsingborg</t>
  </si>
  <si>
    <t>January</t>
  </si>
  <si>
    <t>Helsingborg</t>
  </si>
  <si>
    <t>https://docs.google.com/spreadsheets/d/1ggkZi93igfM3AabQELYT4Rp511mQpW6p1EMQLUh4EFw/edit?gid=0#gid=0</t>
  </si>
  <si>
    <t>Student interest was overwhelmingly skewed towards Economics and Data Science, with a strong secondary group focused on Natural Sciences and a smaller, creative cohort from the arts.</t>
  </si>
  <si>
    <t xml:space="preserve">Public + Private school Conference for university studies in Sweden + Abroad. </t>
  </si>
  <si>
    <t xml:space="preserve">Nina Hedin · Career Guidance Counsellor / Studie- och yrkesvägledare. </t>
  </si>
  <si>
    <t>nina.hedin@helsingborg.se</t>
  </si>
  <si>
    <t xml:space="preserve">Around 40 universities there. Free lunch. Big football stadium. Great lighting and outlets. Well organized. Around 10-15 different classes came, each class had their own time slot so i had time to speak to many students. Long duration of the fair, it was somewhere 4-6 hours long. Enough time to meet everyone. </t>
  </si>
  <si>
    <t xml:space="preserve">Around 400-500 students. It felt like a lot of students. Some students were a great match, some students were really not a good match, cause there were people from all types of schools; Private, public, IB, national system, etc. Well organized. </t>
  </si>
  <si>
    <t xml:space="preserve">I made good contact with Blueberry group in Sweden. </t>
  </si>
  <si>
    <t>Yes, I emailed her august 2025 to check if they have another upcoming fair. They will have another fair in January 2025</t>
  </si>
  <si>
    <t>SVIS Sainte Victoire International School IB1+IB2</t>
  </si>
  <si>
    <t>February</t>
  </si>
  <si>
    <t>Provence</t>
  </si>
  <si>
    <t>Svis - Sainte Victoire International School | School Ib Private Bilingual | Provence, Domaine du, Chem. de Maurel, 13710 Fuveau, France</t>
  </si>
  <si>
    <t xml:space="preserve">- </t>
  </si>
  <si>
    <t>School visit</t>
  </si>
  <si>
    <t>Kerstin Kolbe kkolbe@effetmiroir.com</t>
  </si>
  <si>
    <t>kkolbe@effetmiroir.com</t>
  </si>
  <si>
    <t xml:space="preserve">Fantastic School, it was far away and hard to get to, massive campus, big lawn. Big big auditorium with a pull - down screen. There were big windows with too much light so the students couldn't see the presentation at all. Thankfully I came prepared and gave all the students a 2-pager they could sit and read in their chairs in the auditorium while I gave the presentation. I got a bit lost going there, it was very very hard to find the campus. It was outside some sort of massive industrial complex, it seems like this little town in France next to the mountains are producing some high level product. Not allowed to take photos, a lot of hidden areas, couldn't get around easily either by bus or walking. The campus was hidden behind a very big golf course. </t>
  </si>
  <si>
    <t xml:space="preserve">The students asked fantastic questions, they were super curious, attentive, and overall fantastic. I believe in these students. Very great councelor too. </t>
  </si>
  <si>
    <t xml:space="preserve">Gave a 1 hour presentation in the afternoon to like 100-150 students (All of IB1 and IB2). A pretty big crowd. They paid attention, it kind of seemed like it was mandatory attendence which was great. Students stayed behind for like 30-45 minutes and asked a million questions. </t>
  </si>
  <si>
    <t xml:space="preserve">Yes, the councelor seemed pretty booked and busy, there seems to be a lot of uni reps visiting all the time </t>
  </si>
  <si>
    <t>International Bilingual School of Provence University Fair</t>
  </si>
  <si>
    <t>500 Rte de Bouc Bel air, 13080 Aix-en-Provence, France</t>
  </si>
  <si>
    <t>https://docs.google.com/spreadsheets/d/1TfISJ0JHOo11PMuYt4yl8s0mT8W5ZlRc4uiWOA2NZC4/edit?gid=0#gid=0</t>
  </si>
  <si>
    <t>A lot of them were interested in business management/law.</t>
  </si>
  <si>
    <t>Conference</t>
  </si>
  <si>
    <t>Very very very rich and expensive campus, remote, big lawn, sports, old history, we got wine and great food. The campus was very far away. Hard to get to, I got a ride with a staff member to the closest city after the fair (Aix-en-provence)</t>
  </si>
  <si>
    <t>Met the school councelor at the school (She had silver hair, seemed popular, she was sweet, has a lot of connections). A lot of parents were more involved in the decisions of the students future than the students themselves. It was a very very fancy event, but I kinda don't know if it would be worth doing it again, considering that there were really only students from that school. Only do it again if we have a very high budget.</t>
  </si>
  <si>
    <t xml:space="preserve">I was on a panel discussion, had a table to meet students, met a lot of parents and councelors after the fair. </t>
  </si>
  <si>
    <t>College Day Scandinavia Oslo, Oslo Handelsgymnasium</t>
  </si>
  <si>
    <t>March</t>
  </si>
  <si>
    <t>Oslo Handelsgymnasium, Parkveien 65, 0254 Oslo, Norway</t>
  </si>
  <si>
    <t>https://docs.google.com/spreadsheets/d/15FQR6N3exnnQYJatunaK8vJAvpHb_agjFogzwfkqTV8/edit?gid=0#gid=0</t>
  </si>
  <si>
    <t>The three student profiles showed interests in: 1) arts and international relations, 2) psychology, and 3) business, with one student running their own enterprise.</t>
  </si>
  <si>
    <t>Cold venue, old building, we were in the lobby by the great entrance by big doors. A popular school in Oslo, a lot of affluent students that weren't really interested in any study abroad options.</t>
  </si>
  <si>
    <t>Really bad, don't do it again</t>
  </si>
  <si>
    <t>Had a table, no one came. It was a very sad experience</t>
  </si>
  <si>
    <t>College Day Scandinavia Stockholm, Victor Rydberg Campus.</t>
  </si>
  <si>
    <t xml:space="preserve">Victor Rydberg, College Day Scandinavia Stockholm, Victor Rydberg Campus. </t>
  </si>
  <si>
    <t xml:space="preserve">Student interest was heavily concentrated in Economics, Finance, and Data Science, with isolated points of interest in Arts &amp; Humanities and Medicine (medicine in the swedish system). </t>
  </si>
  <si>
    <t>Conference. Students from many schools</t>
  </si>
  <si>
    <t xml:space="preserve">They changed the cafeteria to be a school fair, amazing beautiful school, warm, a lot of students, the students had to go to the fair, it seemed it was during school hours and I met so many students. The student councelor was super friendly and amazing. Bigger names were there, including stanford, so this fair was more legit. </t>
  </si>
  <si>
    <t>Amazing</t>
  </si>
  <si>
    <t xml:space="preserve">The Ambassador of USA in Stockholm gave me her business card. </t>
  </si>
  <si>
    <t>Had a table, met students, teachers, and the student councelor. No parents came since it was during work hours. A lot of students</t>
  </si>
  <si>
    <t>Copenhagen College Day, European School Copenhagen</t>
  </si>
  <si>
    <t>Ny Carlsberg Vej 99, 1799 København, Denmark</t>
  </si>
  <si>
    <t xml:space="preserve">Funky campus, a lot of big colorful artworks on the walls. Very hippie vibe. Focus on sustainable development and peace, the students seemed sweet but very shy. Very few students came to the fair. All danish students always want to take a gap year. It wasn't a lot of universities, only 15-20. Kind of awkward day. They didn't seem to have invited students from other schools. </t>
  </si>
  <si>
    <t xml:space="preserve">Not good, but not terrible. Could potentially be better next year. </t>
  </si>
  <si>
    <t xml:space="preserve">Gave a presentation, but only 10 students attended. The presentation was in some sort of class room, the students were sitting on beanbags. The atmosphere was pretty unprofessional, unplanned, and no one really was present or knew what was going on. </t>
  </si>
  <si>
    <t>Malmö College Day Scandinavia</t>
  </si>
  <si>
    <t>Malmö</t>
  </si>
  <si>
    <t>malmö borgarskola, Regementsgatan 36, 211 42 Malmö</t>
  </si>
  <si>
    <t xml:space="preserve">Student interest was evenly distributed across business, social sciences, and STEM, with a notable number of interdisciplinary profiles and students with leadership or project experience. MINERVA FIT. </t>
  </si>
  <si>
    <t xml:space="preserve">Beautiful school, located in the city. You can get to it from the street. We walked up a lot of stairs and the event was on the top floor in a seperate room, very modern with good lighting, tables, and they had prepared really well. They had student volunteers that kept on bringing coffee and snacks. Really amazing talented and curious students. This is the best IB school in Sweden. They had other really good schools there, including Berkeley, or atleast some swedish students who had gone to berkeley. Other good healthcare universities from Denmark were there. </t>
  </si>
  <si>
    <t>Fantastic. Student were very interdiscipinary and curious. Perfect students for Minerva</t>
  </si>
  <si>
    <t>Had a good conversation with the Fullbright representative</t>
  </si>
  <si>
    <t xml:space="preserve">Table, met students, and teachers, and the school councelor briefly. They seemed to be connected to Fullbright or Education USA or something of the sorts. </t>
  </si>
  <si>
    <t>CIS University Exploration Day – Africa, March 26 2025, Virtual</t>
  </si>
  <si>
    <t>Africa</t>
  </si>
  <si>
    <t>https://docs.google.com/spreadsheets/d/1SXE00bBzaV93Wu4RRTRcTb1t6xeheUSrPTnL8tsUqLo/edit?gid=0#gid=0</t>
  </si>
  <si>
    <t>Virtual conference</t>
  </si>
  <si>
    <t>Virtual</t>
  </si>
  <si>
    <t>It was okay, but not a lot of students</t>
  </si>
  <si>
    <t>Helsinki Nordic Uni Tour</t>
  </si>
  <si>
    <t>https://docs.google.com/spreadsheets/d/14FelapMI86G8N7_OL60lpjzvCtCdsE8DyzfVhTGEfaY/edit?gid=0#gid=0</t>
  </si>
  <si>
    <t>Interest in STEM/Engineering/military</t>
  </si>
  <si>
    <t>Conference. Students from many schools.</t>
  </si>
  <si>
    <t xml:space="preserve">Modern and contemporary venue, big spacious event space. It wasn't a school, but more a big conference hall. All universities were in the same big hall, a lot of tables, so many universities. </t>
  </si>
  <si>
    <t xml:space="preserve">There were almost more university reps than students. Not that many students. It seemed they hadn't invited a lot of people, or people there are just shy. I mostly spoke to parents and councelors. A lot of parents and councelors, but few students. I still think its worth going again. </t>
  </si>
  <si>
    <t>A representative from a Finnish school invited me for a visit, I still haven't been - should reach out to her</t>
  </si>
  <si>
    <t>Table, met parents and councelors</t>
  </si>
  <si>
    <t>Stockholm Nordic Uni Tour</t>
  </si>
  <si>
    <t xml:space="preserve">Beautiful venue, big artworks, big entryway, very big school. Extremely central, as central you can get. You can walk there from the central station in Stockholm. The university fair was seperated into different rooms, they put Minerva with the other International schools, I was placed next to the University of Hong Kong. Very loud, it was hard to hear the students or talk, a lot of echoing and noise. It felt very stressful and too short, the event was only 2 hours or something like that, it seemed like the students got tired from not hearing anything. </t>
  </si>
  <si>
    <t xml:space="preserve">Stressful. A lot of students. A lot of univerisites. This one was worth it. Do it again next year.  </t>
  </si>
  <si>
    <t xml:space="preserve">Table, met students and a lot of parents, and a lot of teachers. I briefly met with the School Councelor of the School, she is quite a big deal in stockholm, everyone knows who she is in the school councelor world in Sweden. </t>
  </si>
  <si>
    <t xml:space="preserve">Copenhagen International School, Levantkaj 4-14, 2150 København, Denmark </t>
  </si>
  <si>
    <t xml:space="preserve">Gorgeous venue, a cool school with a lot of stairs, right outside the big windows there was water. Very serene and bright. Great organizing, we even took a group picture at the end. For some reason there were a lot of 12 year olds hanging out and talking to the university reps. Good students too, but not enough. </t>
  </si>
  <si>
    <t>Serene, peaceful, not too many students</t>
  </si>
  <si>
    <t xml:space="preserve">Table, met students and teachers. </t>
  </si>
  <si>
    <t>H-FARM School Visit</t>
  </si>
  <si>
    <t>April</t>
  </si>
  <si>
    <t>Treviso</t>
  </si>
  <si>
    <t xml:space="preserve">H-Farm College, Via Adriano Olivetti, 1, 31056 Roncade TV, Italy </t>
  </si>
  <si>
    <t>https://docs.google.com/spreadsheets/d/18LWBbDsvIrtXvEnQZGIss6qsXtABy9L_y0P6NJu3wmg/edit?gid=0#gid=0</t>
  </si>
  <si>
    <t>School Visit + Webinar</t>
  </si>
  <si>
    <t xml:space="preserve">Amazing tour of the school, Serene, massive campus, very far away from the bus stop, I ended up walking for like 45 minutes, it was hard to find on campus cause it was so big and had so many buidlings and lawn. Tech focus, very futuristic, amazing school. </t>
  </si>
  <si>
    <t xml:space="preserve">Fantastic. They want to do a partnership with Minerva. </t>
  </si>
  <si>
    <t>I had lunch with the School Councelor, we had a meeting in her office, we together gave a webinar about Minerva and how to apply to schools, it was recorded and shared with students and parents, I met with the founder of the School, they loved Minerva, they knew everything about Minerva. They want to do a partnership with Minerva HQ. Met the students, did a presentation for students and teachers, met the CEO and the academic designer, had a meeting with the School Councelor Cristina Mocanu.</t>
  </si>
  <si>
    <t xml:space="preserve">I think one visit was enough, the visit was impactful enough that I don't think we need to go again. Good contact, we can be in touch virtually instead </t>
  </si>
  <si>
    <t xml:space="preserve">EducationUSA University Fair Barcelona
</t>
  </si>
  <si>
    <t>Barcelona</t>
  </si>
  <si>
    <t>https://docs.google.com/spreadsheets/d/1wPF7JhVrepQqy0uqJ_wlNCKydfWMSQoiJIItBwfKWRM/edit?gid=0#gid=0</t>
  </si>
  <si>
    <t>Conference + cultural visits in Barcelona + Meeting with the US ambassadors</t>
  </si>
  <si>
    <t xml:space="preserve">The venue was in a seperate venue, not in a school. There was a room for a presentaiton with a big screen, and a room for all the tables. </t>
  </si>
  <si>
    <t xml:space="preserve">The whole thing was fantastic. The only reason why it didn't score a 10 was that there wasn't super many students at the fair, but the planning and organization was amazing. </t>
  </si>
  <si>
    <t xml:space="preserve">11:00–13:00 – Cultural + Networking Activity
~14:00 – Group Lunch. Met the ambassador of USA in Barcelona, we talked about politics and education and overall strategy. 
15:00–20:00 – EducationUSA University Fair. The organizer Sara was fantastic and super friendly. Great contact. </t>
  </si>
  <si>
    <t>No need to follow up</t>
  </si>
  <si>
    <t>School Visit  American School of Milan</t>
  </si>
  <si>
    <t>Milan</t>
  </si>
  <si>
    <t>American School of Milan, Via Karl Marx, 14, 20073 Noverasco MI, Italy</t>
  </si>
  <si>
    <t>No sheet</t>
  </si>
  <si>
    <t xml:space="preserve">Meh, I was in some kind of walk-through liminal space/entryway between some classrooms. Most students were not really interested, they mostly wanted to stay in Milan and study fashion, or a lot of the international students had fallen in love with Italy and wanted to continue studying at University in Italy. </t>
  </si>
  <si>
    <t>Not worth it</t>
  </si>
  <si>
    <t xml:space="preserve">Meeting with high school students at American School of Milan, talked about Minerva, had a meeting with the 2 school councelors, gave them some marketing materials. </t>
  </si>
  <si>
    <t>School Visit</t>
  </si>
  <si>
    <t>Venice</t>
  </si>
  <si>
    <t xml:space="preserve">Very old building, not that many students. The councelor was very friendly but there was some miscommunication in general, she stayed behind after the presentation and asked a lot about Minerva. The school seemed quite traditional; the tech didn't really work, tech issues at the presentation. Not too many students, but the students I did meet were super sweet. </t>
  </si>
  <si>
    <t>Gave a presentation about Minerva, had a private meeting with the councelor</t>
  </si>
  <si>
    <t>University fair at Antwerp International School</t>
  </si>
  <si>
    <t>May</t>
  </si>
  <si>
    <t>Antwerp International School, Veltwijcklaan 180, 2180 Antwerpen, Belgium</t>
  </si>
  <si>
    <t>https://docs.google.com/spreadsheets/d/1hGEDXkJiY6YNZ4RmeKl-3qjl8ArO2dyQDlkBYV7Hyko/edit?gid=0#gid=0</t>
  </si>
  <si>
    <t>Psychology and business</t>
  </si>
  <si>
    <t xml:space="preserve">Well organized, everything was good and well. </t>
  </si>
  <si>
    <t xml:space="preserve">Okay, not super many students. I think it was at an awkward time, cause the last year student were just excited to graduate, and they had already gotten into univerity. The second year students wasn't really thinking about university yet. The fair was too late in the year. </t>
  </si>
  <si>
    <t xml:space="preserve">Met parents, teachers, and councelors. </t>
  </si>
  <si>
    <t>University fair at International School of Brussel</t>
  </si>
  <si>
    <t>Beglium</t>
  </si>
  <si>
    <t>Kattenberg 19, 1170 Watermael-Boitsfort, Belgium</t>
  </si>
  <si>
    <t>Psychology, anthropology, business</t>
  </si>
  <si>
    <t xml:space="preserve">Also well organized. Good thing that there was an organized bus for all the schools reps between the two fairs, so that made it very easy to get between Antwerp and Brussels. </t>
  </si>
  <si>
    <t xml:space="preserve">The school was very remote, a far away campus located inside a massive forrest. Okay, not super many students. I think it was at an awkward time, cause the last year student were just excited to graduate, and they had already gotten into univerity. The second year students wasn't really thinking about university yet. The fair was too late in the year. </t>
  </si>
  <si>
    <t xml:space="preserve">The school fair was very long, so I did have time to meet quite a lot of students. We were there for hours. We were also there waiting for like 1-2 hours before the fair started for some reason. The students were very friendly and kept on giving us waffles. The students were very good at English, a lot of their parents were working in the Parliament and so on, ambassador related, international relations focus. </t>
  </si>
  <si>
    <t>-</t>
  </si>
  <si>
    <t>University fair at UWC Wales, mini fair</t>
  </si>
  <si>
    <t>Cardiff</t>
  </si>
  <si>
    <t>United World College of the Atlantic, St Donat's Castle, St Donats, Llantwit Major CF61 1WF, United Kingdom</t>
  </si>
  <si>
    <t>Great students, they had a lot of interests, interdisciplinary focus, they asked great questions.</t>
  </si>
  <si>
    <t xml:space="preserve">UWC Campus Mini Fair. Since it is a boarding school almost all student made it to the fair, except for some student who had an exam at that time. </t>
  </si>
  <si>
    <t xml:space="preserve">Gorgeous Castle, low tech, not that many outlets, very cold, the internet connection wasn't the best. But that is the only negative thing I could think of. The fair was fantastic. I think this one was definitely worth it. They were very grateful that we had visited them, we got a good welcome, we got gifts, they gave us a tour. Very polite and super professional. All the students were excited to get visitors, they are always at this very remote campus so all students wanted to come to the University fair and talk to us. Very curious and bright students. </t>
  </si>
  <si>
    <t xml:space="preserve">Amazing, UWC students are fantastic. </t>
  </si>
  <si>
    <t xml:space="preserve">The princess of wales is a student there but I didn't meet her, she was already accepted to UNI. I also met an admitted student who is going to Minerva, i met her briefly cause she had to run to her exam. </t>
  </si>
  <si>
    <t xml:space="preserve">I met students at the table, the fair was only 2 hours long but I talked to an insane amount of students, I think 200 or so. </t>
  </si>
  <si>
    <t>iso2</t>
  </si>
  <si>
    <t>country_name</t>
  </si>
  <si>
    <t>lat</t>
  </si>
  <si>
    <t>lng</t>
  </si>
  <si>
    <t>top_summary</t>
  </si>
  <si>
    <t>expanded_json</t>
  </si>
  <si>
    <t>to</t>
  </si>
  <si>
    <t>a</t>
  </si>
  <si>
    <t>high</t>
  </si>
  <si>
    <t>degree</t>
  </si>
  <si>
    <t>of</t>
  </si>
  <si>
    <t>autonomy</t>
  </si>
  <si>
    <t>in</t>
  </si>
  <si>
    <t>their</t>
  </si>
  <si>
    <t>studies."",""student_profile"":""Swedish</t>
  </si>
  <si>
    <t>students</t>
  </si>
  <si>
    <t>are</t>
  </si>
  <si>
    <t>typically</t>
  </si>
  <si>
    <t>independent,</t>
  </si>
  <si>
    <t>self-driven,</t>
  </si>
  <si>
    <t>and</t>
  </si>
  <si>
    <t>value</t>
  </si>
  <si>
    <t>innovation,</t>
  </si>
  <si>
    <t>sustainability,</t>
  </si>
  <si>
    <t>social</t>
  </si>
  <si>
    <t>impact.</t>
  </si>
  <si>
    <t>They</t>
  </si>
  <si>
    <t>strong</t>
  </si>
  <si>
    <t>candidates</t>
  </si>
  <si>
    <t>for</t>
  </si>
  <si>
    <t>Minerva's</t>
  </si>
  <si>
    <t>interdisciplinary,</t>
  </si>
  <si>
    <t>global</t>
  </si>
  <si>
    <t>model.</t>
  </si>
  <si>
    <t>Those</t>
  </si>
  <si>
    <t>applying</t>
  </si>
  <si>
    <t>the</t>
  </si>
  <si>
    <t>US</t>
  </si>
  <si>
    <t>often</t>
  </si>
  <si>
    <t>seek</t>
  </si>
  <si>
    <t>unique,</t>
  </si>
  <si>
    <t>flexible</t>
  </si>
  <si>
    <t>academic</t>
  </si>
  <si>
    <t>experience</t>
  </si>
  <si>
    <t>not</t>
  </si>
  <si>
    <t>offered</t>
  </si>
  <si>
    <t>by</t>
  </si>
  <si>
    <t>more</t>
  </si>
  <si>
    <t>rigid</t>
  </si>
  <si>
    <t>EU</t>
  </si>
  <si>
    <t>university</t>
  </si>
  <si>
    <t>structures."",""gap_year_likelihood"":""Common.</t>
  </si>
  <si>
    <t>take</t>
  </si>
  <si>
    <t>one</t>
  </si>
  <si>
    <t>or</t>
  </si>
  <si>
    <t>two</t>
  </si>
  <si>
    <t>sabbatsår'</t>
  </si>
  <si>
    <t>(gap</t>
  </si>
  <si>
    <t>years)</t>
  </si>
  <si>
    <t>work,</t>
  </si>
  <si>
    <t>travel,</t>
  </si>
  <si>
    <t>mature</t>
  </si>
  <si>
    <t>before</t>
  </si>
  <si>
    <t>starting</t>
  </si>
  <si>
    <t>university.</t>
  </si>
  <si>
    <t>This</t>
  </si>
  <si>
    <t>is</t>
  </si>
  <si>
    <t>normal</t>
  </si>
  <si>
    <t>accepted</t>
  </si>
  <si>
    <t>part</t>
  </si>
  <si>
    <t>educational</t>
  </si>
  <si>
    <t>path."",""mandatory_military"":""Yes</t>
  </si>
  <si>
    <t>(selective).</t>
  </si>
  <si>
    <t>reactivated</t>
  </si>
  <si>
    <t>selective</t>
  </si>
  <si>
    <t>military</t>
  </si>
  <si>
    <t>conscription</t>
  </si>
  <si>
    <t>both</t>
  </si>
  <si>
    <t>males</t>
  </si>
  <si>
    <t>females.</t>
  </si>
  <si>
    <t>However,</t>
  </si>
  <si>
    <t>only</t>
  </si>
  <si>
    <t>small</t>
  </si>
  <si>
    <t>percentage</t>
  </si>
  <si>
    <t>(approx.</t>
  </si>
  <si>
    <t>5,000-8,000</t>
  </si>
  <si>
    <t>per</t>
  </si>
  <si>
    <t>year)</t>
  </si>
  <si>
    <t>selected</t>
  </si>
  <si>
    <t>service,</t>
  </si>
  <si>
    <t>so</t>
  </si>
  <si>
    <t>it</t>
  </si>
  <si>
    <t>impacts</t>
  </si>
  <si>
    <t>minority</t>
  </si>
  <si>
    <t>student</t>
  </si>
  <si>
    <t>cohort."",""education_structure"":""Upper-secondary</t>
  </si>
  <si>
    <t>Gymnasium'</t>
  </si>
  <si>
    <t>(3</t>
  </si>
  <si>
    <t>years,</t>
  </si>
  <si>
    <t>ages</t>
  </si>
  <si>
    <t>16-19).</t>
  </si>
  <si>
    <t>There</t>
  </si>
  <si>
    <t>national</t>
  </si>
  <si>
    <t>programs</t>
  </si>
  <si>
    <t>(6</t>
  </si>
  <si>
    <t>preparatory</t>
  </si>
  <si>
    <t>higher</t>
  </si>
  <si>
    <t>education,</t>
  </si>
  <si>
    <t>vocational).</t>
  </si>
  <si>
    <t>Students</t>
  </si>
  <si>
    <t>receive</t>
  </si>
  <si>
    <t>Slutbetyg'</t>
  </si>
  <si>
    <t>(final</t>
  </si>
  <si>
    <t>grades)</t>
  </si>
  <si>
    <t>spring</t>
  </si>
  <si>
    <t>final</t>
  </si>
  <si>
    <t>year,</t>
  </si>
  <si>
    <t>which</t>
  </si>
  <si>
    <t>when</t>
  </si>
  <si>
    <t>they</t>
  </si>
  <si>
    <t>apply</t>
  </si>
  <si>
    <t>university."",""high_schools_total"":1313,""pct_english_or_international_programs"":10,""pct_ib_programs"":5,""educationusa_presence"":""Yes,</t>
  </si>
  <si>
    <t>EducationUSA</t>
  </si>
  <si>
    <t>advising</t>
  </si>
  <si>
    <t>managed</t>
  </si>
  <si>
    <t>Fulbright</t>
  </si>
  <si>
    <t>Commission</t>
  </si>
  <si>
    <t>Sweden,</t>
  </si>
  <si>
    <t>based</t>
  </si>
  <si>
    <t>Stockholm,</t>
  </si>
  <si>
    <t>with</t>
  </si>
  <si>
    <t>partner</t>
  </si>
  <si>
    <t>office</t>
  </si>
  <si>
    <t>at</t>
  </si>
  <si>
    <t>Borgarskola."",""international_education_common"":true,""notable_patterns"":""Extremely</t>
  </si>
  <si>
    <t>English</t>
  </si>
  <si>
    <t>proficiency.</t>
  </si>
  <si>
    <t>Fika'</t>
  </si>
  <si>
    <t>(a</t>
  </si>
  <si>
    <t>coffee</t>
  </si>
  <si>
    <t>break)</t>
  </si>
  <si>
    <t>key</t>
  </si>
  <si>
    <t>relationship</t>
  </si>
  <si>
    <t>building.</t>
  </si>
  <si>
    <t>consensus-oriented</t>
  </si>
  <si>
    <t>but</t>
  </si>
  <si>
    <t>also</t>
  </si>
  <si>
    <t>independence.</t>
  </si>
  <si>
    <t>Strong</t>
  </si>
  <si>
    <t>state-funded</t>
  </si>
  <si>
    <t>aid</t>
  </si>
  <si>
    <t>(CSN)</t>
  </si>
  <si>
    <t>available,</t>
  </si>
  <si>
    <t>can</t>
  </si>
  <si>
    <t>sometimes</t>
  </si>
  <si>
    <t>be</t>
  </si>
  <si>
    <t>used</t>
  </si>
  <si>
    <t>study</t>
  </si>
  <si>
    <t>abroad."",""outreach_actions"":[""Partner</t>
  </si>
  <si>
    <t>Commission/EducationUSA</t>
  </si>
  <si>
    <t>webinars</t>
  </si>
  <si>
    <t>fairs."",""Target</t>
  </si>
  <si>
    <t>IB</t>
  </si>
  <si>
    <t>schools</t>
  </si>
  <si>
    <t>public</t>
  </si>
  <si>
    <t>gymnasieskolor'</t>
  </si>
  <si>
    <t>English-language</t>
  </si>
  <si>
    <t>profiles</t>
  </si>
  <si>
    <t>specialized</t>
  </si>
  <si>
    <t>spetsutbildning'</t>
  </si>
  <si>
    <t>programs."",""Host</t>
  </si>
  <si>
    <t>virtual</t>
  </si>
  <si>
    <t>info</t>
  </si>
  <si>
    <t>sessions</t>
  </si>
  <si>
    <t>emphasizing</t>
  </si>
  <si>
    <t>rotation,</t>
  </si>
  <si>
    <t>problem-based</t>
  </si>
  <si>
    <t>learning,</t>
  </si>
  <si>
    <t>contrast</t>
  </si>
  <si>
    <t>traditional</t>
  </si>
  <si>
    <t>Swedish</t>
  </si>
  <si>
    <t>pedagogy."",""Engage</t>
  </si>
  <si>
    <t>organizations</t>
  </si>
  <si>
    <t>focused</t>
  </si>
  <si>
    <t>on</t>
  </si>
  <si>
    <t>entrepreneurship,</t>
  </si>
  <si>
    <t>international</t>
  </si>
  <si>
    <t>affairs.""]}"</t>
  </si>
  <si>
    <t>"{""last_updated"":""2025-10-29"",""overview"":""Germany's</t>
  </si>
  <si>
    <t>education</t>
  </si>
  <si>
    <t>system</t>
  </si>
  <si>
    <t>state-run</t>
  </si>
  <si>
    <t>highly</t>
  </si>
  <si>
    <t>structured.</t>
  </si>
  <si>
    <t>The</t>
  </si>
  <si>
    <t>primary</t>
  </si>
  <si>
    <t>university-track</t>
  </si>
  <si>
    <t>school</t>
  </si>
  <si>
    <t>Gymnasium,'</t>
  </si>
  <si>
    <t>culminates</t>
  </si>
  <si>
    <t>rigorous</t>
  </si>
  <si>
    <t>Abitur'</t>
  </si>
  <si>
    <t>examination.</t>
  </si>
  <si>
    <t>well-prepared</t>
  </si>
  <si>
    <t>academically</t>
  </si>
  <si>
    <t>may</t>
  </si>
  <si>
    <t>have</t>
  </si>
  <si>
    <t>less</t>
  </si>
  <si>
    <t>exposure</t>
  </si>
  <si>
    <t>holistic</t>
  </si>
  <si>
    <t>admissions</t>
  </si>
  <si>
    <t>interdisciplinary</t>
  </si>
  <si>
    <t>studies."",""student_profile"":""German</t>
  </si>
  <si>
    <t>methodical,</t>
  </si>
  <si>
    <t>well-prepared,</t>
  </si>
  <si>
    <t>prestige</t>
  </si>
  <si>
    <t>structure.</t>
  </si>
  <si>
    <t>(and</t>
  </si>
  <si>
    <t>parents)</t>
  </si>
  <si>
    <t>practical</t>
  </si>
  <si>
    <t>career-focused.</t>
  </si>
  <si>
    <t>model</t>
  </si>
  <si>
    <t>will</t>
  </si>
  <si>
    <t>appeal</t>
  </si>
  <si>
    <t>those</t>
  </si>
  <si>
    <t>who</t>
  </si>
  <si>
    <t>feel</t>
  </si>
  <si>
    <t>constrained</t>
  </si>
  <si>
    <t>specialization</t>
  </si>
  <si>
    <t>German</t>
  </si>
  <si>
    <t>drawn</t>
  </si>
  <si>
    <t>global,</t>
  </si>
  <si>
    <t>skills-based</t>
  </si>
  <si>
    <t>curriculum."",""gap_year_likelihood"":""Uncommon.</t>
  </si>
  <si>
    <t>While</t>
  </si>
  <si>
    <t>some</t>
  </si>
  <si>
    <t>gap</t>
  </si>
  <si>
    <t>Freiwilliges</t>
  </si>
  <si>
    <t>Soziales</t>
  </si>
  <si>
    <t>Jahr'</t>
  </si>
  <si>
    <t>(FSJ</t>
  </si>
  <si>
    <t>voluntary</t>
  </si>
  <si>
    <t>as</t>
  </si>
  <si>
    <t>standard</t>
  </si>
  <si>
    <t>Nordics.</t>
  </si>
  <si>
    <t>Most</t>
  </si>
  <si>
    <t>high-performing</t>
  </si>
  <si>
    <t>proceed</t>
  </si>
  <si>
    <t>directly</t>
  </si>
  <si>
    <t>university."",""mandatory_military"":""No.</t>
  </si>
  <si>
    <t>Mandatory</t>
  </si>
  <si>
    <t>was</t>
  </si>
  <si>
    <t>suspended</t>
  </si>
  <si>
    <t>Service</t>
  </si>
  <si>
    <t>Bundeswehr'</t>
  </si>
  <si>
    <t>entirely</t>
  </si>
  <si>
    <t>voluntary."",""education_structure"":""'Gymnasium'</t>
  </si>
  <si>
    <t>ends</t>
  </si>
  <si>
    <t>after</t>
  </si>
  <si>
    <t>Grade</t>
  </si>
  <si>
    <t>Abitur,'</t>
  </si>
  <si>
    <t>sole</t>
  </si>
  <si>
    <t>qualification</t>
  </si>
  <si>
    <t>entrance.</t>
  </si>
  <si>
    <t>year.</t>
  </si>
  <si>
    <t>grade</t>
  </si>
  <si>
    <t>single</t>
  </si>
  <si>
    <t>most</t>
  </si>
  <si>
    <t>important</t>
  </si>
  <si>
    <t>factor</t>
  </si>
  <si>
    <t>domestic</t>
  </si>
  <si>
    <t>admission."",""high_schools_total"":3141,""pct_english_or_international_programs"":5,""pct_ib_programs"":2.5,""educationusa_presence"":""Yes,</t>
  </si>
  <si>
    <t>very</t>
  </si>
  <si>
    <t>presence.</t>
  </si>
  <si>
    <t>operates</t>
  </si>
  <si>
    <t>through</t>
  </si>
  <si>
    <t>multiple</t>
  </si>
  <si>
    <t>centers,</t>
  </si>
  <si>
    <t>German-American</t>
  </si>
  <si>
    <t>Institutes</t>
  </si>
  <si>
    <t>(Deutsch-Amerikanisches</t>
  </si>
  <si>
    <t>Institut)</t>
  </si>
  <si>
    <t>Amerikahaus'</t>
  </si>
  <si>
    <t>locations</t>
  </si>
  <si>
    <t>(e.g.,</t>
  </si>
  <si>
    <t>Munich,</t>
  </si>
  <si>
    <t>Berlin,</t>
  </si>
  <si>
    <t>Heidelberg)."",""international_education_common"":true,""notable_patterns"":""The</t>
  </si>
  <si>
    <t>paramount.</t>
  </si>
  <si>
    <t>Strong,</t>
  </si>
  <si>
    <t>tuition-free</t>
  </si>
  <si>
    <t>universities</t>
  </si>
  <si>
    <t>create</t>
  </si>
  <si>
    <t>competition.</t>
  </si>
  <si>
    <t>funded</t>
  </si>
  <si>
    <t>parents</t>
  </si>
  <si>
    <t>state</t>
  </si>
  <si>
    <t>loans</t>
  </si>
  <si>
    <t>(BAföG).</t>
  </si>
  <si>
    <t>Statement</t>
  </si>
  <si>
    <t>Comparability'</t>
  </si>
  <si>
    <t>foreign</t>
  </si>
  <si>
    <t>qualifications</t>
  </si>
  <si>
    <t>needed,</t>
  </si>
  <si>
    <t>highlighting</t>
  </si>
  <si>
    <t>bureaucratic</t>
  </si>
  <si>
    <t>nature</t>
  </si>
  <si>
    <t>system."",""outreach_actions"":[""Collaborate</t>
  </si>
  <si>
    <t>network</t>
  </si>
  <si>
    <t>centers</t>
  </si>
  <si>
    <t>Institutes."",""Target</t>
  </si>
  <si>
    <t>Gymnasien'</t>
  </si>
  <si>
    <t>bilingual</t>
  </si>
  <si>
    <t>bili'</t>
  </si>
  <si>
    <t>tracks</t>
  </si>
  <si>
    <t>that</t>
  </si>
  <si>
    <t>offer</t>
  </si>
  <si>
    <t>Diploma."",""Emphasize</t>
  </si>
  <si>
    <t>skills,</t>
  </si>
  <si>
    <t>career</t>
  </si>
  <si>
    <t>outcomes</t>
  </si>
  <si>
    <t>('co-op'</t>
  </si>
  <si>
    <t>model),</t>
  </si>
  <si>
    <t>accreditation</t>
  </si>
  <si>
    <t>practical-minded</t>
  </si>
  <si>
    <t>students."",""Run</t>
  </si>
  <si>
    <t>workshops</t>
  </si>
  <si>
    <t>Holistic</t>
  </si>
  <si>
    <t>Admissions'</t>
  </si>
  <si>
    <t>Liberal</t>
  </si>
  <si>
    <t>Arts</t>
  </si>
  <si>
    <t>Model'</t>
  </si>
  <si>
    <t>differentiate</t>
  </si>
  <si>
    <t>from</t>
  </si>
  <si>
    <t>system.""]}"</t>
  </si>
  <si>
    <t>"{""last_updated"":""2025-10-29"",""overview"":""The</t>
  </si>
  <si>
    <t>French</t>
  </si>
  <si>
    <t>centralized,</t>
  </si>
  <si>
    <t>state-run,</t>
  </si>
  <si>
    <t>rigorous.</t>
  </si>
  <si>
    <t>It</t>
  </si>
  <si>
    <t>dominated</t>
  </si>
  <si>
    <t>Lycée'</t>
  </si>
  <si>
    <t>(grades</t>
  </si>
  <si>
    <t>10-12),</t>
  </si>
  <si>
    <t>leads</t>
  </si>
  <si>
    <t>Baccalauréat'</t>
  </si>
  <si>
    <t>('le</t>
  </si>
  <si>
    <t>Bac')</t>
  </si>
  <si>
    <t>exam.</t>
  </si>
  <si>
    <t>heavily</t>
  </si>
  <si>
    <t>emphasizes</t>
  </si>
  <si>
    <t>science,</t>
  </si>
  <si>
    <t>economics,</t>
  </si>
  <si>
    <t>literature)</t>
  </si>
  <si>
    <t>years."",""student_profile"":""French</t>
  </si>
  <si>
    <t>driven,</t>
  </si>
  <si>
    <t>articulate,</t>
  </si>
  <si>
    <t>accustomed</t>
  </si>
  <si>
    <t>demanding</t>
  </si>
  <si>
    <t>workload.</t>
  </si>
  <si>
    <t>ambitious</t>
  </si>
  <si>
    <t>funneled</t>
  </si>
  <si>
    <t>into</t>
  </si>
  <si>
    <t>Classes</t>
  </si>
  <si>
    <t>Préparatoires'</t>
  </si>
  <si>
    <t>('Prépas'),</t>
  </si>
  <si>
    <t>grueling</t>
  </si>
  <si>
    <t>2-year</t>
  </si>
  <si>
    <t>post-secondary</t>
  </si>
  <si>
    <t>program</t>
  </si>
  <si>
    <t>prepare</t>
  </si>
  <si>
    <t>entry</t>
  </si>
  <si>
    <t>elite</t>
  </si>
  <si>
    <t>Grandes</t>
  </si>
  <si>
    <t>Écoles'.</t>
  </si>
  <si>
    <t>Minerva</t>
  </si>
  <si>
    <t>an</t>
  </si>
  <si>
    <t>excellent</t>
  </si>
  <si>
    <t>alternative</t>
  </si>
  <si>
    <t>top</t>
  </si>
  <si>
    <t>seeking</t>
  </si>
  <si>
    <t>collaborative,</t>
  </si>
  <si>
    <t>hierarchical</t>
  </si>
  <si>
    <t>system."",""gap_year_likelihood"":""Uncommon.</t>
  </si>
  <si>
    <t>année</t>
  </si>
  <si>
    <t>de</t>
  </si>
  <si>
    <t>césure'</t>
  </si>
  <si>
    <t>formalized</t>
  </si>
  <si>
    <t>option,</t>
  </si>
  <si>
    <t>is_typically</t>
  </si>
  <si>
    <t>taken</t>
  </si>
  <si>
    <t>*during*</t>
  </si>
  <si>
    <t>between</t>
  </si>
  <si>
    <t>Bachelor's</t>
  </si>
  <si>
    <t>Master's),</t>
  </si>
  <si>
    <t>school."",""mandatory_military"":""No.</t>
  </si>
  <si>
    <t>General</t>
  </si>
  <si>
    <t>Service'</t>
  </si>
  <si>
    <t>(SNU)</t>
  </si>
  <si>
    <t>introduced,</t>
  </si>
  <si>
    <t>service</t>
  </si>
  <si>
    <t>yet</t>
  </si>
  <si>
    <t>universally</t>
  </si>
  <si>
    <t>mandatory.</t>
  </si>
  <si>
    <t>does</t>
  </si>
  <si>
    <t>significantly</t>
  </si>
  <si>
    <t>impact</t>
  </si>
  <si>
    <t>application</t>
  </si>
  <si>
    <t>timelines."",""education_structure"":""3-year</t>
  </si>
  <si>
    <t>(ages</t>
  </si>
  <si>
    <t>15-18).</t>
  </si>
  <si>
    <t>choose</t>
  </si>
  <si>
    <t>track</t>
  </si>
  <si>
    <t>second</t>
  </si>
  <si>
    <t>year</t>
  </si>
  <si>
    <t>('Première').</t>
  </si>
  <si>
    <t>Applications</t>
  </si>
  <si>
    <t>abroad</t>
  </si>
  <si>
    <t>happen</t>
  </si>
  <si>
    <t>('Terminale')</t>
  </si>
  <si>
    <t>alongside</t>
  </si>
  <si>
    <t>preparation</t>
  </si>
  <si>
    <t>Baccalauréat'."",""high_schools_total"":2500,""pct_english_or_international_programs"":10,""pct_ib_programs"":1,""educationusa_presence"":""Yes,</t>
  </si>
  <si>
    <t>centered</t>
  </si>
  <si>
    <t>Franco-American</t>
  </si>
  <si>
    <t>Paris,</t>
  </si>
  <si>
    <t>serves</t>
  </si>
  <si>
    <t>hub</t>
  </si>
  <si>
    <t>country."",""international_education_common"":true,""notable_patterns"":""Strong</t>
  </si>
  <si>
    <t>cultural</t>
  </si>
  <si>
    <t>Écoles'</t>
  </si>
  <si>
    <t>system.</t>
  </si>
  <si>
    <t>OIB'</t>
  </si>
  <si>
    <t>targets.</t>
  </si>
  <si>
    <t>Parcoursup'</t>
  </si>
  <si>
    <t>centralized</t>
  </si>
  <si>
    <t>platform,</t>
  </si>
  <si>
    <t>separate,</t>
  </si>
  <si>
    <t>deliberate</t>
  </si>
  <si>
    <t>process."",""outreach_actions"":[""Partner</t>
  </si>
  <si>
    <t>Paris."",""Target</t>
  </si>
  <si>
    <t>Lycées'</t>
  </si>
  <si>
    <t>Option</t>
  </si>
  <si>
    <t>Internationale</t>
  </si>
  <si>
    <t>du</t>
  </si>
  <si>
    <t>(OIB)</t>
  </si>
  <si>
    <t>Sections</t>
  </si>
  <si>
    <t>Européennes'."",""Promote</t>
  </si>
  <si>
    <t>modern,</t>
  </si>
  <si>
    <t>high-stress,</t>
  </si>
  <si>
    <t>Prépa'</t>
  </si>
  <si>
    <t>system."",""Emphasize</t>
  </si>
  <si>
    <t>project-based</t>
  </si>
  <si>
    <t>curriculum,</t>
  </si>
  <si>
    <t>contrasts</t>
  </si>
  <si>
    <t>sharply</t>
  </si>
  <si>
    <t>theory-heavy</t>
  </si>
  <si>
    <t>model.""]}"</t>
  </si>
  <si>
    <t>"{""last_updated"":""2025-10-29"",""overview"":""Finland’s</t>
  </si>
  <si>
    <t>consistently</t>
  </si>
  <si>
    <t>ranked</t>
  </si>
  <si>
    <t>among</t>
  </si>
  <si>
    <t>world’s</t>
  </si>
  <si>
    <t>best.</t>
  </si>
  <si>
    <t>attend</t>
  </si>
  <si>
    <t>('Lukio'</t>
  </si>
  <si>
    <t>general</t>
  </si>
  <si>
    <t>upper</t>
  </si>
  <si>
    <t>secondary)</t>
  </si>
  <si>
    <t>proficiency."",""student_profile"":""Finnish</t>
  </si>
  <si>
    <t>strong,</t>
  </si>
  <si>
    <t>mature,</t>
  </si>
  <si>
    <t>attracted</t>
  </si>
  <si>
    <t>like</t>
  </si>
  <si>
    <t>Minerva."",""gap_year_likelihood"":""Common.</t>
  </si>
  <si>
    <t>Lukio',</t>
  </si>
  <si>
    <t>influenced</t>
  </si>
  <si>
    <t>timing</t>
  </si>
  <si>
    <t>mandatory</t>
  </si>
  <si>
    <t>improve</t>
  </si>
  <si>
    <t>exam</t>
  </si>
  <si>
    <t>scores</t>
  </si>
  <si>
    <t>entrance."",""mandatory_military"":""Yes.</t>
  </si>
  <si>
    <t>(6–12</t>
  </si>
  <si>
    <t>months)</t>
  </si>
  <si>
    <t>optional</t>
  </si>
  <si>
    <t>civil</t>
  </si>
  <si>
    <t>service.</t>
  </si>
  <si>
    <t>Women</t>
  </si>
  <si>
    <t>volunteer.</t>
  </si>
  <si>
    <t>major</t>
  </si>
  <si>
    <t>life</t>
  </si>
  <si>
    <t>event</t>
  </si>
  <si>
    <t>post-high</t>
  </si>
  <si>
    <t>school."",""education_structure"":""Upper-secondary</t>
  </si>
  <si>
    <t>('Lukio'/gymnasium)</t>
  </si>
  <si>
    <t>lasts</t>
  </si>
  <si>
    <t>years</t>
  </si>
  <si>
    <t>(can</t>
  </si>
  <si>
    <t>4);</t>
  </si>
  <si>
    <t>graduate</t>
  </si>
  <si>
    <t>around</t>
  </si>
  <si>
    <t>age</t>
  </si>
  <si>
    <t>18–19.</t>
  </si>
  <si>
    <t>usually</t>
  </si>
  <si>
    <t>occur</t>
  </si>
  <si>
    <t>during</t>
  </si>
  <si>
    <t>year."",""high_schools_total"":370,""pct_english_or_international_programs"":10,""pct_ib_programs"":5,""educationusa_presence"":""Yes,</t>
  </si>
  <si>
    <t>Foundation</t>
  </si>
  <si>
    <t>Helsinki."",""international_education_common"":true,""notable_patterns"":""Strong</t>
  </si>
  <si>
    <t>proficiency,</t>
  </si>
  <si>
    <t>population,</t>
  </si>
  <si>
    <t>digital</t>
  </si>
  <si>
    <t>literacy.</t>
  </si>
  <si>
    <t>humble</t>
  </si>
  <si>
    <t>direct,</t>
  </si>
  <si>
    <t>honest</t>
  </si>
  <si>
    <t>communication.</t>
  </si>
  <si>
    <t>Sisu'</t>
  </si>
  <si>
    <t>(grit)</t>
  </si>
  <si>
    <t>concept."",""outreach_actions"":[""Collaborate</t>
  </si>
  <si>
    <t>schools."",""Partner</t>
  </si>
  <si>
    <t>Helsinki."",""Promote</t>
  </si>
  <si>
    <t>Minerva’s</t>
  </si>
  <si>
    <t>flexible,</t>
  </si>
  <si>
    <t>curriculum</t>
  </si>
  <si>
    <t>visits</t>
  </si>
  <si>
    <t>fairs."",""Highlight</t>
  </si>
  <si>
    <t>large,</t>
  </si>
  <si>
    <t>lecture-based</t>
  </si>
  <si>
    <t>"{""last_updated"":""2025-10-29"",""overview"":""Danish</t>
  </si>
  <si>
    <t>high-quality,</t>
  </si>
  <si>
    <t>state-funded.</t>
  </si>
  <si>
    <t>almost</t>
  </si>
  <si>
    <t>fluent</t>
  </si>
  <si>
    <t>English.</t>
  </si>
  <si>
    <t>Højskole'</t>
  </si>
  <si>
    <t>(folk</t>
  </si>
  <si>
    <t>schools)</t>
  </si>
  <si>
    <t>popular</t>
  </si>
  <si>
    <t>non-academic</t>
  </si>
  <si>
    <t>fostering</t>
  </si>
  <si>
    <t>personal</t>
  </si>
  <si>
    <t>development."",""student_profile"":""Self-reliant,</t>
  </si>
  <si>
    <t>work-life</t>
  </si>
  <si>
    <t>balance</t>
  </si>
  <si>
    <t>flat</t>
  </si>
  <si>
    <t>hierarchies.</t>
  </si>
  <si>
    <t>Drawn</t>
  </si>
  <si>
    <t>less-structured</t>
  </si>
  <si>
    <t>environment</t>
  </si>
  <si>
    <t>than</t>
  </si>
  <si>
    <t>universities.</t>
  </si>
  <si>
    <t>Very</t>
  </si>
  <si>
    <t>globally-minded</t>
  </si>
  <si>
    <t>collaborators."",""gap_year_likelihood"":""Common.</t>
  </si>
  <si>
    <t>50-80%</t>
  </si>
  <si>
    <t>('sabbatår')</t>
  </si>
  <si>
    <t>højskole'</t>
  </si>
  <si>
    <t>university."",""mandatory_military"":""Yes</t>
  </si>
  <si>
    <t>Conscription</t>
  </si>
  <si>
    <t>lottery</t>
  </si>
  <si>
    <t>men.</t>
  </si>
  <si>
    <t>As</t>
  </si>
  <si>
    <t>2025,</t>
  </si>
  <si>
    <t>this</t>
  </si>
  <si>
    <t>being</t>
  </si>
  <si>
    <t>extended</t>
  </si>
  <si>
    <t>women,</t>
  </si>
  <si>
    <t>full</t>
  </si>
  <si>
    <t>implementation</t>
  </si>
  <si>
    <t>months,</t>
  </si>
  <si>
    <t>selective."",""education_structure"":""3-year</t>
  </si>
  <si>
    <t>(STX,</t>
  </si>
  <si>
    <t>HHX,</t>
  </si>
  <si>
    <t>HTX)</t>
  </si>
  <si>
    <t>ending</t>
  </si>
  <si>
    <t>exams.</t>
  </si>
  <si>
    <t>19-20</t>
  </si>
  <si>
    <t>during/after</t>
  </si>
  <si>
    <t>year."",""high_schools_total"":250,""pct_english_or_international_programs"":15,""pct_ib_programs"":5,""educationusa_presence"":""Yes,</t>
  </si>
  <si>
    <t>AFS</t>
  </si>
  <si>
    <t>Denmark."",""international_education_common"":true,""notable_patterns"":""The</t>
  </si>
  <si>
    <t>grant</t>
  </si>
  <si>
    <t>(SU)</t>
  </si>
  <si>
    <t>abroad,</t>
  </si>
  <si>
    <t>significant</t>
  </si>
  <si>
    <t>enabler.</t>
  </si>
  <si>
    <t>Flat</t>
  </si>
  <si>
    <t>structure;</t>
  </si>
  <si>
    <t>expect</t>
  </si>
  <si>
    <t>treated</t>
  </si>
  <si>
    <t>equals.</t>
  </si>
  <si>
    <t>safety</t>
  </si>
  <si>
    <t>net."",""outreach_actions"":[""Partner</t>
  </si>
  <si>
    <t>Denmark/EducationUSA."",""Target</t>
  </si>
  <si>
    <t>Gymnasiums</t>
  </si>
  <si>
    <t>lines."",""Emphasize</t>
  </si>
  <si>
    <t>flexibility</t>
  </si>
  <si>
    <t>studies</t>
  </si>
  <si>
    <t>sessions."",""Promote</t>
  </si>
  <si>
    <t>fit</t>
  </si>
  <si>
    <t>(personal</t>
  </si>
  <si>
    <t>development,</t>
  </si>
  <si>
    <t>community).""]}"</t>
  </si>
  <si>
    <t>"{""last_updated"":""2025-10-29"",""overview"":""High-quality,</t>
  </si>
  <si>
    <t>('Videregående</t>
  </si>
  <si>
    <t>opplæring').</t>
  </si>
  <si>
    <t>exceptional</t>
  </si>
  <si>
    <t>skills.</t>
  </si>
  <si>
    <t>There's</t>
  </si>
  <si>
    <t>emphasis</t>
  </si>
  <si>
    <t>equality</t>
  </si>
  <si>
    <t>non-hierarchical</t>
  </si>
  <si>
    <t>classroom.</t>
  </si>
  <si>
    <t>Folkehøgskole'</t>
  </si>
  <si>
    <t>school)</t>
  </si>
  <si>
    <t>popular,</t>
  </si>
  <si>
    <t>option."",""student_profile"":""Students</t>
  </si>
  <si>
    <t>socially</t>
  </si>
  <si>
    <t>conscious,</t>
  </si>
  <si>
    <t>nature.</t>
  </si>
  <si>
    <t>experiences</t>
  </si>
  <si>
    <t>practical,</t>
  </si>
  <si>
    <t>less-traditional</t>
  </si>
  <si>
    <t>learning</t>
  </si>
  <si>
    <t>environments.</t>
  </si>
  <si>
    <t>motivated</t>
  </si>
  <si>
    <t>experience."",""gap_year_likelihood"":""Common.</t>
  </si>
  <si>
    <t>friår'</t>
  </si>
  <si>
    <t>folkehøgskole'</t>
  </si>
  <si>
    <t>one-year,</t>
  </si>
  <si>
    <t>boarding</t>
  </si>
  <si>
    <t>development)."",""mandatory_military"":""Yes</t>
  </si>
  <si>
    <t>has</t>
  </si>
  <si>
    <t>universal</t>
  </si>
  <si>
    <t>men</t>
  </si>
  <si>
    <t>women</t>
  </si>
  <si>
    <t>(the</t>
  </si>
  <si>
    <t>first</t>
  </si>
  <si>
    <t>NATO),</t>
  </si>
  <si>
    <t>it's</t>
  </si>
  <si>
    <t>selective.</t>
  </si>
  <si>
    <t>Only</t>
  </si>
  <si>
    <t>chosen,</t>
  </si>
  <si>
    <t>seen</t>
  </si>
  <si>
    <t>opportunity</t>
  </si>
  <si>
    <t>obligation."",""education_structure"":""Upper</t>
  </si>
  <si>
    <t>secondary</t>
  </si>
  <si>
    <t>('Videregående')</t>
  </si>
  <si>
    <t>16-19),</t>
  </si>
  <si>
    <t>leading</t>
  </si>
  <si>
    <t>Vitnemål'</t>
  </si>
  <si>
    <t>(diploma).</t>
  </si>
  <si>
    <t>Samordna</t>
  </si>
  <si>
    <t>opptak'</t>
  </si>
  <si>
    <t>(centralized</t>
  </si>
  <si>
    <t>system)."",""high_schools_total"":400,""pct_english_or_international_programs"":10,""pct_ib_programs"":5,""educationusa_presence"":""Yes,</t>
  </si>
  <si>
    <t>Public</t>
  </si>
  <si>
    <t>Affairs</t>
  </si>
  <si>
    <t>Section</t>
  </si>
  <si>
    <t>U.S.</t>
  </si>
  <si>
    <t>Embassy</t>
  </si>
  <si>
    <t>Oslo.</t>
  </si>
  <si>
    <t>Norway-America</t>
  </si>
  <si>
    <t>Association</t>
  </si>
  <si>
    <t>(NORAM)</t>
  </si>
  <si>
    <t>provides</t>
  </si>
  <si>
    <t>scholarships</t>
  </si>
  <si>
    <t>advising."",""international_education_common"":true,""notable_patterns"":""Lånekassen</t>
  </si>
  <si>
    <t>(State</t>
  </si>
  <si>
    <t>Educational</t>
  </si>
  <si>
    <t>Loan</t>
  </si>
  <si>
    <t>Fund)</t>
  </si>
  <si>
    <t>enabler,</t>
  </si>
  <si>
    <t>providing</t>
  </si>
  <si>
    <t>generous</t>
  </si>
  <si>
    <t>grants,</t>
  </si>
  <si>
    <t>usable</t>
  </si>
  <si>
    <t>abroad.</t>
  </si>
  <si>
    <t>institution</t>
  </si>
  <si>
    <t>development</t>
  </si>
  <si>
    <t>post-HS.</t>
  </si>
  <si>
    <t>infrastructure."",""outreach_actions"":[""Partner</t>
  </si>
  <si>
    <t>NORAM."",""Target</t>
  </si>
  <si>
    <t>international/IB</t>
  </si>
  <si>
    <t>Videregående'</t>
  </si>
  <si>
    <t>tracks."",""Host</t>
  </si>
  <si>
    <t>explaining</t>
  </si>
  <si>
    <t>how</t>
  </si>
  <si>
    <t>Lånekassen</t>
  </si>
  <si>
    <t>Minerva."",""Emphasize</t>
  </si>
  <si>
    <t>tight-knit</t>
  </si>
  <si>
    <t>community.""]}"</t>
  </si>
  <si>
    <t>"{""last_updated"":""2025-10-29"",""overview"":""Iceland's</t>
  </si>
  <si>
    <t>flexible;</t>
  </si>
  <si>
    <t>('framhaldsskóli')</t>
  </si>
  <si>
    <t>credit-based,</t>
  </si>
  <si>
    <t>taking</t>
  </si>
  <si>
    <t>years.</t>
  </si>
  <si>
    <t>fluency</t>
  </si>
  <si>
    <t>universal.</t>
  </si>
  <si>
    <t>independent</t>
  </si>
  <si>
    <t>globally-minded."",""student_profile"":""Mature,</t>
  </si>
  <si>
    <t>self-sufficient,</t>
  </si>
  <si>
    <t>work</t>
  </si>
  <si>
    <t>experience.</t>
  </si>
  <si>
    <t>small,</t>
  </si>
  <si>
    <t>community.</t>
  </si>
  <si>
    <t>non-traditional</t>
  </si>
  <si>
    <t>experiences.</t>
  </si>
  <si>
    <t>Value</t>
  </si>
  <si>
    <t>creativity</t>
  </si>
  <si>
    <t>autonomy."",""gap_year_likelihood"":""Common.</t>
  </si>
  <si>
    <t>travel</t>
  </si>
  <si>
    <t>no</t>
  </si>
  <si>
    <t>standing</t>
  </si>
  <si>
    <t>army."",""education_structure"":""Upper</t>
  </si>
  <si>
    <t>non-compulsory,</t>
  </si>
  <si>
    <t>16-20),</t>
  </si>
  <si>
    <t>Stúdentspróf'</t>
  </si>
  <si>
    <t>(matriculation</t>
  </si>
  <si>
    <t>exam).</t>
  </si>
  <si>
    <t>allowing</t>
  </si>
  <si>
    <t>flexibility."",""high_schools_total"":30,""pct_english_or_international_programs"":10,""pct_ib_programs"":3,""educationusa_presence"":""Yes,</t>
  </si>
  <si>
    <t>available</t>
  </si>
  <si>
    <t>Iceland,</t>
  </si>
  <si>
    <t>Reykjavik."",""international_education_common"":true,""notable_patterns"":""Extremely</t>
  </si>
  <si>
    <t>population</t>
  </si>
  <si>
    <t>(~370k</t>
  </si>
  <si>
    <t>total).</t>
  </si>
  <si>
    <t>Personal</t>
  </si>
  <si>
    <t>relationships</t>
  </si>
  <si>
    <t>counselors</t>
  </si>
  <si>
    <t>key.</t>
  </si>
  <si>
    <t>creative</t>
  </si>
  <si>
    <t>entrepreneurial</t>
  </si>
  <si>
    <t>streak.</t>
  </si>
  <si>
    <t>trust,</t>
  </si>
  <si>
    <t>informal</t>
  </si>
  <si>
    <t>society."",""outreach_actions"":[""Partner</t>
  </si>
  <si>
    <t>Reykjavik."",""Build</t>
  </si>
  <si>
    <t>framhahdsskóli'</t>
  </si>
  <si>
    <t>Reykjavik."",""Host</t>
  </si>
  <si>
    <t>alumni</t>
  </si>
  <si>
    <t>events."",""Leverage</t>
  </si>
  <si>
    <t>Icelandic</t>
  </si>
  <si>
    <t>(if</t>
  </si>
  <si>
    <t>any)</t>
  </si>
  <si>
    <t>outreach.""]}"</t>
  </si>
  <si>
    <t>AD</t>
  </si>
  <si>
    <t>Tiny principality with a multilingual (Catalan, French, Spanish) education system. Students apply to universities in Spain, France, or abroad.</t>
  </si>
  <si>
    <t>{"last_updated":"2025-10-29","overview":"Andorra's education system is unique, with three separate systems (Andorran, French, and Spanish) operating in parallel. Students receive diplomas from either France or Spain, granting access to those university systems.","student_profile":"Students are typically multilingual (Catalan, Spanish, French) and globally aware. Those from the private 'Andorra International School' (IB) are the primary targets for US outreach.","gap_year_likelihood":"Uncommon. Most students follow the French or Spanish model of proceeding directly to university.","mandatory_military":"No. Andorra has no standing army.","education_structure":"Secondary education (upper cycle) ends around age 18. Students from the French system receive the 'Baccalauréat'; students from the Spanish system receive the 'Bachillerato'.","high_schools_total":5,"pct_english_or_international_programs":20,"pct_ib_programs":20,"educationusa_presence":"None. Advising is handled by the EducationUSA centers in Spain (Barcelona) or France (Toulouse).","international_education_common":true,"notable_patterns":"All students are internationally-minded by default, as there is no major domestic university. Outreach is highly consolidated and can be done by targeting the 1-2 key upper-secondary schools.","outreach_actions":["Target the 'Andorra International School' (IB World School).","Partner with counselors at the French 'Lycée Comte de Foix' and the Spanish 'Institut Espanyol d'Andorra'.","Route all advising inquiries through EducationUSA Spain."]}</t>
  </si>
  <si>
    <t>AQ</t>
  </si>
  <si>
    <t>No permanent population or secondary schools. A non-outreach territory.</t>
  </si>
  <si>
    <t>{"last_updated":"2025-10-29","overview":"Antarctica has no permanent population, no indigenous inhabitants, and no K-12 school system. Its 'population' consists of rotating international research staff.","student_profile":"N/A. There are no high school students to recruit.","gap_year_likelihood":"N/A","mandatory_military":"N/A","education_structure":"N/A","high_schools_total":0,"pct_english_or_international_programs":0,"pct_ib_programs":0,"educationusa_presence":"None.","international_education_common":false,"notable_patterns":"This is a non-territory for student outreach. It is included for map completion only.","outreach_actions":["No outreach actions required."]}</t>
  </si>
  <si>
    <t>AT</t>
  </si>
  <si>
    <t>Strong, dual-track education (Gymnasium &amp; HTL). Students are high-achievers, often more formal, and benefit from a well-regarded, free public university system.</t>
  </si>
  <si>
    <t>{"last_updated":"2025-10-29","overview":"Austria has a well-regarded, free public education system. The main university tracks are the 'Gymnasium' (general academics) and 'HTL' (higher technical schools), both 5 years. Students are academically well-prepared and often quite formal.","student_profile":"Austrian students are typically diligent, structured, and value prestige and security. Those from HTLs are technically skilled. They are often less familiar with the US liberal arts model and holistic admissions. Minerva's applied, global model is a strong draw.","gap_year_likelihood":"Uncommon. Most students proceed directly to university, partly to fulfill mandatory civil or military service requirements first.","mandatory_military":"Yes. 6 months of military service or 9 months of alternative civilian service is mandatory for all males upon turning 18, typically done before university.","education_structure":"Upper secondary (Gymnasium or HTL) concludes with the 'Matura' (matriculation exam) after 12 or 13 years of schooling. Applications occur during the final year.","high_schools_total":450,"pct_english_or_international_programs":5,"pct_ib_programs":2,"educationusa_presence":"Yes, EducationUSA advising is managed by the Fulbright Commission (Austrian-American Educational Commission) in Vienna.","international_education_common":true,"notable_patterns":"Strong, free public universities. The 'Matura' is the key qualification. Many students are German-speaking but also have strong English. Decision-making is often family-oriented and practical.","outreach_actions":["Partner with the Fulbright Commission in Vienna.","Target international schools in Vienna and 'Gymnasien' with strong English programs.","Emphasize career outcomes and practical skills to differentiate from the theory-heavy domestic universities.","Host workshops on 'Holistic Admissions vs. Matura-based Entry'."]}</t>
  </si>
  <si>
    <t>BE</t>
  </si>
  <si>
    <t>Complex trilingual country (Flemish, French, German-speaking). Education is high-quality but siloed by language. Strong IB/international school presence in Brussels.</t>
  </si>
  <si>
    <t>{"last_updated":"2025-10-29","overview":"Belgium is divided into three linguistic communities (Flemish, French, German-speaking), and its education systems are run separately. Brussels, as the EU capital, has a massive concentration of international and European Schools, making it a key hub.","student_profile":"Students from the Belgian system are academically strong. Those from the large international/IB school community in Brussels are often expatriates, 'third-culture kids,' and globally mobile. They are ideal candidates for Minerva.","gap_year_likelihood":"Uncommon. Similar to France, most students proceed directly to higher education.","mandatory_military":"No. Conscription was suspended in 1994.","education_structure":"Secondary education is 6 years, ending around age 18 with the 'Diploma van Secundair Onderwijs' (Flemish) or 'Certificat d'Enseignement Secondaire Supérieur' (French).","high_schools_total":1500,"pct_english_or_international_programs":10,"pct_ib_programs":3,"educationusa_presence":"Yes, EducationUSA advising is managed by the Fulbright Commission in Brussels.","international_education_common":true,"notable_patterns":"The country is linguistically and politically complex. Outreach must be targeted by language/region. The international school scene in Brussels is one of the most concentrated in the world and should be a primary focus.","outreach_actions":["Prioritize outreach to the large cluster of IB and international schools in Brussels (e.g., ISB, St. John's).","Partner with the Fulbright Commission in Brussels for fairs and advising.","Segment outreach lists by school language (Flemish vs. French)."]}</t>
  </si>
  <si>
    <t>BQ</t>
  </si>
  <si>
    <t>Bonaire Saint Eustatius and Saba</t>
  </si>
  <si>
    <t>Caribbean islands; special municipalities of the Netherlands. Education follows the Dutch system. Very small student population.</t>
  </si>
  <si>
    <t>{"last_updated":"2025-10-29","overview":"As special municipalities of the Netherlands, these islands follow the Dutch education system. The language of instruction is often Dutch, with Papiamento (Bonaire) and English (Saba/St. Eustatius) also used.","student_profile":"Very small student cohort. Students who go abroad typically attend university in the Netherlands, the US, or other Caribbean islands.","gap_year_likelihood":"Common. Students often work or travel before moving for higher education.","mandatory_military":"No. Conscription is not enforced.","education_structure":"Follows the Dutch VWO/HAVO system, though options may be limited, requiring students to move for specialized study.","high_schools_total":3,"pct_english_or_international_programs":50,"pct_ib_programs":0,"educationusa_presence":"None. Advising is handled by EducationUSA in the Netherlands or U.S. Consulate General in Curaçao.","international_education_common":true,"notable_patterns":"Very small scale. All higher education requires moving off-island. Students are eligible for Dutch study financing (DUO), which can be used for study in the US.","outreach_actions":["Digital outreach only.","Partner with EducationUSA at the U.S. Consulate General in Curaçao for virtual events.","Emphasize financial aid and support for island students."]}</t>
  </si>
  <si>
    <t>IO</t>
  </si>
  <si>
    <t>No permanent population. A non-outreach territory.</t>
  </si>
  <si>
    <t>{"last_updated":"2025-10-29","overview":"This territory consists of the Chagos Archipelago, which has no permanent or indigenous population. The only inhabitants are U.S. and British military personnel and associated contractors on the island of Diego Garcia.","student_profile":"N/A. There are no high school students to recruit. Families of personnel do not reside here.","gap_year_likelihood":"N/A","mandatory_military":"N/A","education_structure":"N/A. There is a small K-8 school for children of contractors, but no high school.","high_schools_total":0,"pct_english_or_international_programs":0,"pct_ib_programs":0,"educationusa_presence":"None.","international_education_common":false,"notable_patterns":"This is a non-territory for student outreach. It is included for map completion only.","outreach_actions":["No outreach actions required."]}</t>
  </si>
  <si>
    <t>DK</t>
  </si>
  <si>
    <t>Strong public education (Gymnasium) with excellent English. 'Sabbatår' (gap years) are extremely common for work, travel, or 'højskole'.</t>
  </si>
  <si>
    <t>{"last_updated":"2025-10-29","overview":"Danish system is high-quality, state-funded. Students are mature, independent, and almost universally fluent in English. 'Højskole' (folk high schools) are a popular non-academic gap year option, fostering personal development.","student_profile":"Self-reliant, value work-life balance and flat hierarchies. Drawn to US for a more flexible, less-structured academic environment than EU universities. Very globally-minded and strong collaborators.","gap_year_likelihood":"Common. 50-80% of students take 1-2 gap years ('sabbatår') to work, travel, or attend a 'højskole' before starting university.","mandatory_military":"Yes (selective). Conscription lottery for men. As of 2025, this is being extended to women, with full implementation by 2026. Service is 11 months, but highly selective.","education_structure":"3-year 'Gymnasium' (STX, HHX, HTX) ending with exams. Students graduate at 19-20 and apply during/after their final year.","high_schools_total":250,"pct_english_or_international_programs":15,"pct_ib_programs":5,"educationusa_presence":"Yes, EducationUSA advising is managed by AFS Denmark.","international_education_common":true,"notable_patterns":"The state educational grant (SU) can sometimes be used abroad, which is a significant enabler. Flat social structure; students expect to be treated as equals. Strong social safety net.","outreach_actions":["Partner with AFS Denmark/EducationUSA.","Target IB schools and Gymnasiums with strong international lines.","Emphasize career flexibility and interdisciplinary studies in info sessions.","Promote the 'Højskole' to Minerva fit (personal development, community)."]}</t>
  </si>
  <si>
    <t>FO</t>
  </si>
  <si>
    <t>A self-governing territory of Denmark. Students attend local upper secondary ('Miðnám') and are eligible for Danish/Nordic university systems.</t>
  </si>
  <si>
    <t>{"last_updated":"2025-10-29","overview":"As a self-governing part of the Kingdom of Denmark, the Faroe Islands has its own education system. Upper secondary ('Miðnám') prepares students for higher education. Faroese and Danish are the main languages; English is strong.","student_profile":"Students are independent, hardy, and have a strong local identity but a global (Nordic) outlook. They are accustomed to moving abroad (usually to Denmark) for university.","gap_year_likelihood":"Common. Many students work in the fishing industry or travel before university.","mandatory_military":"No. Faroese residents are not subject to Danish conscription.","education_structure":"3-year upper secondary system (e.g., 'Studentaskúli', 'HF') ends with exams. Students are eligible for Danish state grants (SU).","high_schools_total":5,"pct_english_or_international_programs":5,"pct_ib_programs":0,"educationusa_presence":"None. Advising is handled by EducationUSA in Denmark.","international_education_common":true,"notable_patterns":"Very small, tight-knit population. All university-bound students apply abroad, primarily to Denmark. They are eligible for Danish student financing.","outreach_actions":["Digital outreach only.","Host virtual info sessions targeted at the main 'Miðnám' schools in Tórshavn.","Route advising through EducationUSA Denmark."]}</t>
  </si>
  <si>
    <t>FI</t>
  </si>
  <si>
    <t>World-class public education (Lukio) with high English proficiency. Students are self-driven, and mandatory military service for males often influences gap years.</t>
  </si>
  <si>
    <t>{"last_updated":"2025-10-29","overview":"Finland’s education system is consistently ranked among the world’s best. Most students attend public schools ('Lukio' for general upper secondary) with high autonomy and strong English proficiency.","student_profile":"Finnish students applying abroad are self-driven, academically strong, mature, and attracted to interdisciplinary and global programs like Minerva.","gap_year_likelihood":"Common. Many students take a gap year after 'Lukio', often influenced by the timing of mandatory military service or to improve exam scores for university entrance.","mandatory_military":"Yes. Mandatory for males (6–12 months) or optional civil service. Women can volunteer. This is a major life event post-high school.","education_structure":"Upper-secondary education ('Lukio'/gymnasium) lasts 3 years (can be 4); students graduate around age 18–19. Applications abroad usually occur during the final year.","high_schools_total":370,"pct_english_or_international_programs":10,"pct_ib_programs":5,"educationusa_presence":"Yes, EducationUSA Finland operates through the Fulbright Finland Foundation in Helsinki.","international_education_common":true,"notable_patterns":"Strong English proficiency, small population, high digital literacy. Students are often humble and value direct, honest communication. 'Sisu' (grit) is a key cultural concept.","outreach_actions":["Collaborate with IB and bilingual schools.","Partner with Fulbright Finland Foundation and EducationUSA Helsinki.","Promote Minerva’s flexible, global curriculum in school visits and fairs.","Highlight the contrast to the large, lecture-based domestic system."]}</t>
  </si>
  <si>
    <t>FR</t>
  </si>
  <si>
    <t>A centralized, rigorous academic system (Lycée) leading to the 'Baccalauréat'. Students are academically focused, with a growing interest in US/global models that offer an alternative to the intense 'Classes Préparatoires'.</t>
  </si>
  <si>
    <t>{"last_updated":"2025-10-29","overview":"The French education system is highly centralized, state-run, and academically rigorous. It is dominated by the 'Lycée' (grades 10-12), which leads to the national 'Baccalauréat' ('le Bac') exam. The system heavily emphasizes specialization (e.g., science, economics, literature) in the final two years.","student_profile":"French students are academically driven, articulate, and accustomed to a demanding workload. The most ambitious are often funneled into the 'Classes Préparatoires' ('Prépas'), a grueling 2-year post-secondary program to prepare for entry into the elite 'Grandes Écoles'. Minerva is an excellent alternative for top students seeking a global, collaborative, and less hierarchical system.","gap_year_likelihood":"Uncommon. The 'année de césure' (gap year) is a formalized option, but it is typically taken *during* higher education (e.g., between Bachelor's and Master's), not directly after high school.","mandatory_military":"No. A voluntary 'General National Service' (SNU) was introduced, but it is not military service and is not yet universally mandatory. It does not significantly impact university application timelines.","education_structure":"3-year 'Lycée' (ages 15-18). Students choose a specialization track in their second year ('Première'). Applications abroad happen in the final year ('Terminale') alongside preparation for the 'Baccalauréat'.","high_schools_total":2500,"pct_english_or_international_programs":10,"pct_ib_programs":1,"educationusa_presence":"Yes, advising is centered at the Franco-American Fulbright Commission in Paris, which serves as the primary EducationUSA hub for the country.","international_education_common":true,"notable_patterns":"Strong cultural prestige of the 'Baccalauréat' and the 'Grandes Écoles' system. Students from 'OIB' tracks are top targets. The 'Parcoursup' is the centralized domestic university application platform, so applying abroad is a very separate, deliberate process.","outreach_actions":["Partner with the Fulbright Commission in Paris.","Target 'Lycées' that offer the 'Option Internationale du Baccalauréat' (OIB) or 'Sections Européennes'.","Promote Minerva as a modern, global alternative to the high-stress, domestic 'Prépa' system.","Emphasize the project-based curriculum, which contrasts sharply with the theory-heavy French model."]}</t>
  </si>
  <si>
    <t>DE</t>
  </si>
  <si>
    <t>Academically rigorous students from the 'Gymnasium' system, culminating in the 'Abitur' exam. Strong domestic universities mean US applicants are often seeking specialized, English-taught, or more global programs.</t>
  </si>
  <si>
    <t>{"last_updated":"2025-10-29","overview":"Germany's education system is state-run and highly structured. The primary university-track school is the 'Gymnasium,' which culminates in the rigorous 'Abitur' examination. Students are well-prepared academically but may have less exposure to holistic admissions or interdisciplinary studies.","student_profile":"German students are methodical, well-prepared, and value academic prestige and structure. They (and their parents) are often practical and career-focused. Minerva's model will appeal to those who feel constrained by the rigid specialization of the German system and are drawn to a global, skills-based curriculum.","gap_year_likelihood":"Uncommon. While some students take a gap year, often for a 'Freiwilliges Soziales Jahr' (FSJ - voluntary social year) or travel, it is not as standard as in the Nordics. Most high-performing students proceed directly to university.","mandatory_military":"No. Mandatory conscription was suspended in 2011. Service in the 'Bundeswehr' is entirely voluntary.","education_structure":"'Gymnasium' typically ends after Grade 12 or 13 with the 'Abitur,' which is the sole qualification for university entrance. Students apply in their final year. The 'Abitur' grade is the single most important factor for domestic university admission.","high_schools_total":3141,"pct_english_or_international_programs":5,"pct_ib_programs":2.5,"educationusa_presence":"Yes, a very strong presence. EducationUSA operates through multiple centers, often at German-American Institutes (Deutsch-Amerikanisches Institut) and 'Amerikahaus' locations (e.g., in Munich, Berlin, Heidelberg).","international_education_common":true,"notable_patterns":"The 'Abitur' is paramount. Strong, tuition-free public universities create high competition. Students are often funded by parents or state loans (BAföG). A 'Statement of Comparability' for foreign qualifications is often needed, highlighting the bureaucratic nature of the system.","outreach_actions":["Collaborate directly with the network of EducationUSA centers and German-American Institutes.","Target 'Gymnasien' with bilingual 'bili' tracks or those that offer the IB Diploma.","Emphasize Minerva's practical skills, career outcomes ('co-op' model), and accreditation to appeal to practical-minded parents and students.","Run workshops on 'Holistic Admissions' and 'The US Liberal Arts Model' to differentiate from the German system."]}</t>
  </si>
  <si>
    <t>GI</t>
  </si>
  <si>
    <t>British Overseas Territory. Education system is UK-based (A-Levels), and students apply to UK universities via UCAS. Small, high-value target pool.</t>
  </si>
  <si>
    <t>{"last_updated":"2025-10-29","overview":"As a British Overseas Territory, Gibraltar's education system is based on the UK model. Students attend secondary schools and 'Gibraltar College' to take A-Levels or BTECs, the standard UK university entrance qualifications.","student_profile":"Students are bilingual (English/Spanish), British-educated, and globally-minded. They are considered 'home' students for fee purposes in the UK, making the UK the primary destination. The US is a less common, high-cost alternative.","gap_year_likelihood":"Common. Similar to the UK, gap years are an accepted option.","mandatory_military":"No. Service is voluntary.","education_structure":"Follows the UK 'Key Stage' system, culminating in A-Levels at age 18. Students apply via UCAS for UK universities or Common App for the US.","high_schools_total":3,"pct_english_or_international_programs":100,"pct_ib_programs":0,"educationusa_presence":"None. Advising is handled by EducationUSA in the UK or Spain.","international_education_common":true,"notable_patterns":"The student population is very small. All students apply abroad (primarily UK). Students are eligible for UK 'home' fees and student loans, making UK universities the main competitor.","outreach_actions":["Digital outreach only.","Build relationships with the counselors at Gibraltar's secondary schools (e.g., Bayside, Westside) and Gibraltar College.","Route advising inquiries through EducationUSA London."]}</t>
  </si>
  <si>
    <t>GL</t>
  </si>
  <si>
    <t>A self-governing territory of Denmark. Has its own upper secondary (GUX) that prepares students for higher ed in Denmark and abroad.</t>
  </si>
  <si>
    <t>{"last_updated":"2025-10-29","overview":"As part of the Kingdom of Denmark, Greenland's system is linked to the Danish one but is self-governing. The main university track is the 3-year 'GUX' (Gymnasial uddannelse), which prepares students for higher education.","student_profile":"Students are typically multilingual (Greenlandic, Danish) and are increasingly learning English. They are independent and must be willing to move abroad (usually to Denmark) for university.","gap_year_likelihood":"Common. Many students take time to work or travel before leaving Greenland for university.","mandatory_military":"No. Residents of Greenland are not subject to Danish conscription.","education_structure":"The 'GUX' program (similar to Danish Gymnasium) is the primary track. Graduates are eligible for the Danish university system and its student grant (SU).","high_schools_total":4,"pct_english_or_international_programs":5,"pct_ib_programs":0,"educationusa_presence":"None. Advising is handled by EducationUSA in Denmark.","international_education_common":true,"notable_patterns":"Extremely small student population. All students must go abroad for university-level study. Strong financial/social ties to Denmark.","outreach_actions":["Digital outreach only.","Partner with 'GUX' schools in Nuuk, Sisimiut, Aasiaat, and Qaqortoq.","Route all advising through EducationUSA Denmark."]}</t>
  </si>
  <si>
    <t>GG</t>
  </si>
  <si>
    <t>British Crown Dependency. Education system is UK-based (A-Levels/IB). Students are affluent and primarily target UK universities.</t>
  </si>
  <si>
    <t>{"last_updated":"2025-10-29","overview":"As a British Crown Dependency, Guernsey's education system is not part of the UK, but it is closely aligned. It offers both A-Levels and the IB Diploma at its secondary schools and the 'Grammar School and Sixth Form Centre'.","student_profile":"Students are affluent and typically look to the UK for higher education. They (and their parents) are brand-savvy and value prestige. The US is a known, high-cost alternative.","gap_year_likelihood":"Common. Follows UK trends for gap years.","mandatory_military":"No.","education_structure":"Follows the UK model, culminating in A-Levels or IB at age 18. Students apply to UK universities via UCAS.","high_schools_total":4,"pct_english_or_international_programs":75,"pct_ib_programs":25,"educationusa_presence":"None. Advising is handled by EducationUSA in the UK.","international_education_common":true,"notable_patterns":"Affluent population. Strong focus on UK 'Russell Group' universities. All students must go off-island for university.","outreach_actions":["Digital outreach.","Build relationships with counselors at Elizabeth College, The Ladies' College, and the Grammar School and Sixth Form Centre.","Route advising through EducationUSA London."]}</t>
  </si>
  <si>
    <t>IS</t>
  </si>
  <si>
    <t>Highly independent, English-fluent students from a flexible 'framhaldsskóli' system. Very small population; outreach is highly targeted and personal.</t>
  </si>
  <si>
    <t>{"last_updated":"2025-10-29","overview":"Iceland's system is very flexible; upper secondary ('framhaldsskóli') is credit-based, often taking 3-4 years. English fluency is universal. Students are highly independent and globally-minded.","student_profile":"Mature, self-sufficient, and often have work experience. Very small, tight-knit community. Drawn to unique, non-traditional experiences. Value creativity and autonomy.","gap_year_likelihood":"Common. Many students work or travel for a year or more between upper secondary and university.","mandatory_military":"No. Iceland has no standing army.","education_structure":"Upper secondary ('framhaldsskóli') is non-compulsory, typically 3-4 years (ages 16-20), ending with the 'Stúdentspróf' (matriculation exam). The system is credit-based, allowing high flexibility.","high_schools_total":30,"pct_english_or_international_programs":10,"pct_ib_programs":3,"educationusa_presence":"Yes, advising is available through the Fulbright Commission in Iceland, based in Reykjavik.","international_education_common":true,"notable_patterns":"Extremely small population (~370k total). Personal relationships with counselors are key. Strong creative and entrepreneurial streak. High trust, informal society.","outreach_actions":["Partner with the Fulbright Commission in Reykjavik.","Build direct, personal relationships with counselors at the key 'framhaldsskóli' in and around Reykjavik.","Host small, personal info sessions or alumni events.","Leverage Icelandic alumni (if any) for personal outreach."]}</t>
  </si>
  <si>
    <t>IE</t>
  </si>
  <si>
    <t>English-speaking system with a 'Leaving Certificate' exam. Students are globally-minded. Strong competition from UK and EU universities. High-growth tech economy.</t>
  </si>
  <si>
    <t>{"last_updated":"2025-10-29","overview":"As an English-speaking country in the EU, Ireland is a unique market. The education system is excellent, culminating in the 'Leaving Certificate' exam. There is a strong, growing tech economy, making students career-aware.","student_profile":"Students are articulate, globally-minded, and culturally similar to US students. They are high-achievers, but the 'Leaving Cert' is a points-based, high-stakes exam system that encourages specialization. Minerva's interdisciplinary model is a refreshing alternative.","gap_year_likelihood":"Uncommon. Most students proceed directly to university. A 'Transition Year' (TY) is common *during* secondary school (age 15-16) for personal development, but not a gap year post-graduation.","mandatory_military":"No. Service is voluntary.","education_structure":"'Secondary School' ends with the 'Leaving Certificate' exam, which determines university entry based on a points system ('CAO points'). Students apply in their final year.","high_schools_total":730,"pct_english_or_international_programs":5,"pct_ib_programs":1,"educationusa_presence":"Yes, EducationUSA advising is managed by the Fulbright Commission in Ireland, based in Dublin.","international_education_common":true,"notable_patterns":"Strong competition from UK universities and increasingly from affordable, English-taught programs in the EU (Netherlands). Students are eligible for EU tuition fees, making the US a high-cost option. The 'Transition Year' (TY) is a good time for early engagement.","outreach_actions":["Partner with the Fulbright Commission in Dublin.","Target private, fee-paying schools and schools with strong 'Leaving Cert' results, as they are the primary source of US-bound students.","Emphasize financial aid and the value proposition (global rotation) over high-prestige UK/EU options.","Conduct outreach to 'Transition Year' coordinators for early engagement."]}</t>
  </si>
  <si>
    <t>IT</t>
  </si>
  <si>
    <t>Academically strong students from the 'Liceo' system. US universities are a prestige alternative to free domestic ones. Strong family influence on decisions.</t>
  </si>
  <si>
    <t>{"last_updated":"2025-10-29","overview":"Italy has a rigorous, traditional education system focused on the 5-year 'Liceo' (e.g., Classico, Scientifico), which provides deep academic specialization. Students are well-educated but often lack practical or interdisciplinary experience.","student_profile":"Italian students are academically strong, articulate, and value intellectual depth. Family plays a crucial role in decision-making. Those applying to the US often seek a more global, dynamic, and less theoretical education than what is offered domestically.","gap_year_likelihood":"Rare. Almost all students proceed directly from the 'Liceo' to university.","mandatory_military":"No. Mandatory service was suspended in 2005.","education_structure":"The 5-year 'Scuola Secondaria di Secondo Grado' (or 'Liceo' for academic tracks) ends at age 19 with the 'Esame di Stato' (formerly 'Maturità'). Applications happen in the final year.","high_schools_total":5000,"pct_english_or_international_programs":5,"pct_ib_programs":1,"educationusa_presence":"Yes, EducationUSA has advisors through the Fulbright Commission, with offices in Rome and Milan.","international_education_common":false,"notable_patterns":"Strong, free public universities. The US is a high-cost, high-prestige option. Family approval is critical. The north of Italy (e.g., Milan, Turin) is the primary source of US-bound students. 'Bocconi' is a major domestic competitor.","outreach_actions":["Partner with EducationUSA/Fulbright in Rome and Milan.","Target private international/IB schools and top-tier public 'Licei' (Classico and Scientifico) in northern and central Italy.","Host parent-focused info sessions that emphasize safety, career outcomes, and prestige.","Highlight Minerva's applied learning as a complement to the theoretical 'Liceo' education."]}</t>
  </si>
  <si>
    <t>JE</t>
  </si>
  <si>
    <t>British Crown Dependency. UK-based education (A-Levels/IB). Affluent student body that primarily targets UK universities.</t>
  </si>
  <si>
    <t>{"last_updated":"2025-10-29","overview":"As a British Crown Dependency, Jersey's education system is closely aligned with the UK, but not part of it. It offers A-Levels and the IB. It is an affluent market, and students are considered 'overseas' for UK fee purposes, making them a good target for US options.","student_profile":"Affluent, globally-mobile students. They are accustomed to the UK system but are often charged international fees, which makes the US a more competitive option than for students from Guernsey or the mainland UK.","gap_year_likelihood":"Common. Follows UK trends.","mandatory_military":"No.","education_structure":"Follows the UK model, culminating in A-Levels or IB at age 18. Key schools include Victoria College (boys) and Jersey College for Girls.","high_schools_total":5,"pct_english_or_international_programs":80,"pct_ib_programs":20,"educationusa_presence":"None. Advising is handled by EducationUSA in the UK.","international_education_common":true,"notable_patterns":"Affluent population. All students go off-island for university. Unlike Guernsey/Gibraltar, Jersey students are 'international' for UK fee purposes, which levels the playing field for US universities.","outreach_actions":["Digital outreach.","Build relationships with counselors at the key private/grammar schools (Victoria College, JCG, Beaulieu).","Route advising through EducationUSA London."]}</t>
  </si>
  <si>
    <t>LI</t>
  </si>
  <si>
    <t>Tiny, German-speaking principality. Education system is high-quality and closely aligned with Switzerland (Gymnasium/Matura).</t>
  </si>
  <si>
    <t>{"last_updated":"2025-10-29","overview":"Liechtenstein's education system is small, high-quality, and closely integrated with Switzerland and Austria. The main university track is the 'Gymnasium' in Vaduz, which culminates in the 'Matura', granting access to Swiss universities.","student_profile":"Students are affluent, multilingual (German, English), and well-prepared. All students go abroad for university, typically to Switzerland (St. Gallen), Austria, or Germany.","gap_year_likelihood":"Common. Often aligned with Swiss mandatory service, if students hold Swiss citizenship.","mandatory_military":"No. The army was abolished in 1868.","education_structure":"The 'Gymnasium' track ends with the 'Matura' exam, following the Swiss model.","high_schools_total":1,"pct_english_or_international_programs":50,"pct_ib_programs":0,"educationusa_presence":"None. Advising is handled by the U.S. Embassy in Switzerland (Bern/Zurich).","international_education_common":true,"notable_patterns":"Extremely small, affluent population. All students go abroad for university. Strong ties to the Swiss education system are the default path.","outreach_actions":["Digital outreach.","Build a direct relationship with the counselor at the 'Liechtensteinisches Gymnasium' in Vaduz.","Route advising through EducationUSA Switzerland."]}</t>
  </si>
  <si>
    <t>LU</t>
  </si>
  <si>
    <t>Multilingual, high-income country. Has a local 'Lycée' system and a very strong international/IB/European School presence.</t>
  </si>
  <si>
    <t>{"last_updated":"2025-10-29","overview":"Luxembourg is a trilingual (French, German, Luxembourgish) country with a high-quality local 'Lycée' system and a massive expatriate community, resulting in many top-tier international and European schools.","student_profile":"Students are affluent, multilingual, and globally mobile. 'Third-culture kids' from the international/European schools are a prime target. Local students are also strong candidates, as the domestic university (Uni.lu) is small.","gap_year_likelihood":"Common. Many students take a gap year to work or travel before university.","mandatory_military":"No. Service is voluntary.","education_structure":"The local system ends with the 'Diplôme de Fin d'Études Secondaires'. This exists alongside a large number of schools offering the IB Diploma or European Baccalaureate.","high_schools_total":35,"pct_english_or_international_programs":30,"pct_ib_programs":15,"educationusa_presence":"Yes, EducationUSA advising is managed by the Public Affairs section of the U.S. Embassy in Luxembourg.","international_education_common":true,"notable_patterns":"High-income, expatriate-heavy population. The international school scene is a key focus. The local university is not a major competitor for top students, so most apply abroad.","outreach_actions":["Partner with EducationUSA at the U.S. Embassy in Luxembourg.","Prioritize outreach to the major international schools (e.g., International School of Luxembourg, St. George's) and the European Schools.","Target local 'Lycées' with IB or strong English tracks."]}</t>
  </si>
  <si>
    <t>MT</t>
  </si>
  <si>
    <t>English-speaking EU country. Education is based on the British model (Matriculation Certificate) and is high-quality.</t>
  </si>
  <si>
    <t>{"last_updated":"2025-10-29","overview":"Malta's education system is bilingual (Maltese, English) and modeled on the British system. The university-preparatory track is 'Sixth Form' (2 years), culminating in the 'Matriculation Certificate' (MATSEC), which functions like A-Levels.","student_profile":"Students are fluent in English and academically strong. The University of Malta is the primary domestic option. Students applying abroad often look to the UK or Italy.","gap_year_likelihood":"Uncommon. Most students proceed from Sixth Form to university.","mandatory_military":"No. Service is voluntary.","education_structure":"'Sixth Form' (2 years, ages 16-18) is the pre-university track. The MATSEC exam is the key qualification.","high_schools_total":20,"pct_english_or_international_programs":50,"pct_ib_programs":5,"educationusa_presence":"Yes, EducationUSA advising is available through the U.S. Embassy in Malta.","international_education_common":false,"notable_patterns":"English is an official language, removing language barriers. The University of Malta is a strong, free domestic competitor. The US is a high-cost option, so outreach should target private/independent colleges.","outreach_actions":["Partner with EducationUSA at the U.S. Embassy in Malta.","Build relationships with the key independent 'Sixth Form' colleges (e.g., St. Aloysius College, De La Salle).","Emphasize financial aid and the global experience vs. the local or UK options."]}</t>
  </si>
  <si>
    <t>MC</t>
  </si>
  <si>
    <t>Tiny, affluent principality. Education system is based on the French 'Lycée' model. High concentration of ultra-high-net-worth international residents.</t>
  </si>
  <si>
    <t>{"last_updated":"2025-10-29","overview":"Monaco's education system is based on the French curriculum. Schools in Monaco teach to the French 'Baccalauréat'. The population is extremely affluent and international.","student_profile":"Students are ultra-high-net-worth, globally mobile, and multilingual. They attend local schools (like 'Lycée Albert Ier') or elite private schools. They are prime candidates for high-cost US universities.","gap_year_likelihood":"Uncommon. Follows the French model.","mandatory_military":"No. Has military units, but service is voluntary.","education_structure":"Follows the French 'Lycée' system, ending with the 'Baccalauréat'. The 'International School of Monaco' offers the IB Diploma.","high_schools_total":3,"pct_english_or_international_programs":33,"pct_ib_programs":33,"educationusa_presence":"None. Advising is handled by EducationUSA in France (Fulbright Commission in Paris or U.S. Consulate in Marseille).","international_education_common":true,"notable_patterns":"Extreme concentration of wealth. Students are 'international' by default. The French system is the default, but US/UK universities are very common.","outreach_actions":["Target the 'International School of Monaco' (IB) directly.","Build relationships with counselors at 'Lycée Albert Ier'.","Route advising through EducationUSA France."]}</t>
  </si>
  <si>
    <t>NL</t>
  </si>
  <si>
    <t>Excellent English proficiency. Students from VWO or IB are top candidates. Very internationally-minded; US must compete with high-quality, affordable Dutch universities.</t>
  </si>
  <si>
    <t>{"last_updated":"2025-10-29","overview":"The Netherlands has one of the highest English proficiency rates in the world. The university-track 'VWO' (6 years) and IB programs produce outstanding candidates. The Dutch higher education system is high-quality, English-taught, and a major competitor.","student_profile":"Dutch students are independent, confident, direct, and pragmatic. They are fluent in English and accustomed to a collaborative, project-based learning environment. They are a perfect fit for Minerva but have many excellent, low-cost local options.","gap_year_likelihood":"Common. Many students take a 'tussenjaar' (gap year) to work or travel before starting university.","mandatory_military":"No. Conscription is technically still on the books but has not been enforced since 1997.","education_structure":"'VWO' (pre-university education) is a 6-year program (ages 12-18) that grants access to research universities. Students apply in their final year.","high_schools_total":650,"pct_english_or_international_programs":20,"pct_ib_programs":5,"educationusa_presence":"Yes, EducationUSA advising is part of the Fulbright Commission in Amsterdam.","international_education_common":true,"notable_patterns":"Dutch universities (e.g., UvA, Utrecht, Leiden) are a primary competitor, offering many high-quality, low-cost English-taught Bachelor's. Minerva's key differentiator is the global rotation and US-based degree.","outreach_actions":["Partner with the Fulbright Commission in Amsterdam.","Target VWO schools (especially those with bilingual 'TTO' programs) and IB schools.","Emphasize the global rotation as the key differentiator from domestic Dutch universities.","Promote the problem-based pedagogy, which aligns well with the Dutch educational style."]}</t>
  </si>
  <si>
    <t>NO</t>
  </si>
  <si>
    <t>High English proficiency and strong state support (Lånekassen). Students are often mature, and many take a gap year ('friår') or attend 'folkehøgskole'.</t>
  </si>
  <si>
    <t>{"last_updated":"2025-10-29","overview":"High-quality, state-funded system ('Videregående opplæring'). Students have exceptional English skills. There's a strong emphasis on equality and a non-hierarchical classroom. 'Folkehøgskole' (folk high school) is a very popular, non-academic gap year option.","student_profile":"Students are mature, socially conscious, and value work-life balance and nature. They are drawn to global experiences and practical, less-traditional learning environments. They are less motivated by prestige than by experience.","gap_year_likelihood":"Common. Many take a 'friår' (gap year) to work, travel, or attend a 'folkehøgskole' (a one-year, non-academic boarding school for personal development).","mandatory_military":"Yes (selective). Norway has universal conscription for both men and women (the first in NATO), but it's highly selective. Only the most motivated are chosen, so it's seen more as an opportunity than an obligation.","education_structure":"Upper secondary ('Videregående') is 3 years (ages 16-19), leading to the 'Vitnemål' (diploma). Applications abroad are managed alongside the domestic 'Samordna opptak' (centralized application system).","high_schools_total":400,"pct_english_or_international_programs":10,"pct_ib_programs":5,"educationusa_presence":"Yes, EducationUSA is part of the Public Affairs Section at the U.S. Embassy in Oslo. The Norway-America Association (NORAM) also provides scholarships and advising.","international_education_common":true,"notable_patterns":"Lånekassen (State Educational Loan Fund) is a major enabler, providing generous loans and grants, often usable for study abroad. 'Folkehøgskole' is a key institution for student development post-HS. Strong digital infrastructure.","outreach_actions":["Partner with EducationUSA Oslo and NORAM.","Target international/IB schools and 'Videregående' with strong academic tracks.","Host webinars explaining how Lånekassen can be used for Minerva.","Emphasize the global experience and tight-knit community."]}</t>
  </si>
  <si>
    <t>PT</t>
  </si>
  <si>
    <t>Growing interest in US education. Students are increasingly proficient in English. 'Ensino Secundário' is the final stage. US is seen as an aspirational, high-cost option.</t>
  </si>
  <si>
    <t>{"last_updated":"2025-10-29","overview":"Portugal's 'Ensino Secundário' (3 years) is the final stage of secondary education. English proficiency is rising rapidly, especially in private schools and urban areas. The US is seen as an aspirational but high-cost destination.","student_profile":"Students are increasingly internationally-minded. Those from private and international schools are the most likely to apply to the US. They are often family-oriented and may be more cost-sensitive.","gap_year_likelihood":"Uncommon. Most students proceed directly to university.","mandatory_military":"No. Mandatory service ended in 2004.","education_structure":"'Ensino Secundário' (3 years, grades 10-12) ends with national exams ('Exames Nacionais'). Students graduate around 18.","high_schools_total":1100,"pct_english_or_international_programs":5,"pct_ib_programs":1,"educationusa_presence":"Yes, EducationUSA advising is managed by the Fulbright Commission in Lisbon.","international_education_common":false,"notable_patterns":"The domestic university system is the default. The US is a stretch goal for many. The 'Golden Visa' program has increased the number of affluent international residents, boosting international school enrollment.","outreach_actions":["Partner with the Fulbright Commission in Lisbon.","Focus outreach on the cluster of private and international schools in the Lisbon/Cascais and Porto areas.","Emphasize financial aid and scholarships.","Host events highlighting alumni success and career opportunities."]}</t>
  </si>
  <si>
    <t>SM</t>
  </si>
  <si>
    <t>Tiny microstate landlocked by Italy. Education system is aligned with the Italian 'Liceo' model.</t>
  </si>
  <si>
    <t>{"last_updated":"2025-10-29","overview":"As a microstate completely surrounded by Italy, San Marino's education system is closely aligned with the Italian model. Students attend the 'Scuola Superiore di San Marino', which is equivalent to an Italian 'Liceo'.","student_profile":"Very small student population. Students are bilingual (Italian, English) and all must go abroad for university, typically to Italy (e.g., Bologna, Urbino).","gap_year_likelihood":"Rare. Follows the Italian model.","mandatory_military":"No. Service in its ceremonial military units is voluntary.","education_structure":"The 5-year 'Scuola Superiore' ends with the 'Esame di Stato', equivalent to the Italian 'Maturità'.","high_schools_total":1,"pct_english_or_international_programs":20,"pct_ib_programs":0,"educationusa_presence":"None. Advising is handled by EducationUSA in Italy (Fulbright Commission).","international_education_common":true,"notable_patterns":"Very small, affluent population. All students go abroad for university, primarily to Italy.","outreach_actions":["Digital outreach.","Build a relationship with the counselor at the 'Scuola Superiore di San Marino'.","Route all advising through EducationUSA Italy."]}</t>
  </si>
  <si>
    <t>ES</t>
  </si>
  <si>
    <t>Bachillerato' system. Strong regional identities. US education is a high-prestige, high-cost option. Interest is growing, especially from private schools.</t>
  </si>
  <si>
    <t>{"last_updated":"2025-10-29","overview":"The Spanish system is defined by the 2-year 'Bachillerato' program, which prepares students for the 'Selectividad' (PAU/EBAU) university entrance exam. Education is managed by 17 autonomous regions, leading to variation.","student_profile":"Students are academically well-prepared, social, and family-oriented. US education is a high-prestige, high-cost option, primarily pursued by students from private ('privado') or semi-private ('concertado') schools.","gap_year_likelihood":"Rare. Almost all students proceed directly to university.","mandatory_military":"No. Mandatory service ended in 2001.","education_structure":"'Bachillerato' (2 years, ages 16-18) is the university-preparatory track, culminating in the 'Selectividad' exam. Students apply in their final year.","high_schools_total":4000,"pct_english_or_international_programs":10,"pct_ib_programs":3,"educationusa_presence":"Yes, EducationUSA has advisors through the Fulbright Commission, with centers in Madrid and Valencia, and advising in other cities.","international_education_common":false,"notable_patterns":"Strong domestic universities (both public and private, like IE or ESADE, though mostly for post-grad). Strong regional identities (e.g., Catalan, Basque). Family involvement in decisions is very high.","outreach_actions":["Partner with the EducationUSA centers in Madrid and Valencia.","Target private, bilingual, and international schools, as they are the main 'feeder' schools.","Run events for both students and parents, emphasizing prestige, safety, and career outcomes.","Leverage Spanish alumni for testimonials."]}</t>
  </si>
  <si>
    <t>SE</t>
  </si>
  <si>
    <t>Highly proficient English speakers from a strong public school system (gymnasium). Students are independent, digitally native, and often take a gap year ('sabbatsår') before university.</t>
  </si>
  <si>
    <t>{"last_updated":"2025-10-29","overview":"Sweden boasts a high-quality, non-compulsory upper-secondary school system ('gymnasium') with a strong emphasis on critical thinking, group work, and English proficiency. Students are digitally literate, globally aware, and accustomed to a high degree of autonomy in their studies.","student_profile":"Swedish students are typically independent, self-driven, and value innovation, sustainability, and social impact. They are strong candidates for Minerva's interdisciplinary, global model. Those applying to the US often seek a unique, flexible academic experience not offered by the more rigid EU university structures.","gap_year_likelihood":"Common. Many students take one or two 'sabbatsår' (gap years) to work, travel, or mature before starting university. This is a normal and accepted part of the educational path.","mandatory_military":"Yes (selective). Sweden reactivated selective military conscription in 2017 for both males and females. However, only a small percentage (approx. 5,000-8,000 per year) are selected for service, so it impacts a minority of the student cohort.","education_structure":"Upper-secondary 'Gymnasium' (3 years, ages 16-19). There are 18 national programs (6 preparatory for higher education, 12 vocational). Students receive their 'Slutbetyg' (final grades) in the spring of their final year, which is when they typically apply for university.","high_schools_total":1313,"pct_english_or_international_programs":10,"pct_ib_programs":5,"educationusa_presence":"Yes, EducationUSA advising is managed by the Fulbright Commission in Sweden, based in Stockholm, with a partner office at Malmö Borgarskola.","international_education_common":true,"notable_patterns":"Extremely high English proficiency. 'Fika' (a social coffee break) is key to relationship building. Students are consensus-oriented but also value independence. Strong state-funded student aid (CSN) is available, which can sometimes be used for study abroad.","outreach_actions":["Partner with the Fulbright Commission/EducationUSA Stockholm for webinars and fairs.","Target IB schools and public 'gymnasieskolor' with strong English-language profiles or specialized 'spetsutbildning' programs.","Host virtual info sessions emphasizing global rotation, problem-based learning, and the contrast to traditional Swedish university pedagogy.","Engage with student organizations focused on innovation, entrepreneurship, or international affairs."]}</t>
  </si>
  <si>
    <t>CH</t>
  </si>
  <si>
    <t>Extremely high-quality, multilingual education (Gymnasium/Maturité). Students are affluent, mature, and top-tier. Strong domestic universities (ETH, EPFL) are top competitors.</t>
  </si>
  <si>
    <t>{"last_updated":"2025-10-29","overview":"Switzerland has a world-class, multilingual (German, French, Italian) education system. The 'Gymnasium' (leading to the 'Maturité') is academically exceptional. It's an affluent market with a high concentration of elite private/boarding schools.","student_profile":"Swiss students are mature, multilingual, independent, and extremely well-prepared. They are top-tier applicants. Minerva's primary competition is world-renowned domestic universities like ETH Zurich and EPFL, which are virtually free.","gap_year_likelihood":"Common. Many students, especially males, take a gap year to complete mandatory service, work, or travel.","mandatory_military":"Yes. Mandatory military service (or alternative civilian service) is required for all male citizens, typically completed before or after university.","education_structure":"The 'Gymnasium' (4-6 years, depending on canton) ends with the 'Maturité' exam, which grants university access. The 'IB' is also very common in the numerous private schools.","high_schools_total":200,"pct_english_or_international_programs":20,"pct_ib_programs":15,"educationusa_presence":"Yes, EducationUSA has advising centers in Zurich and Geneva, often associated with the Fulbright program.","international_education_common":true,"notable_patterns":"Extremely strong (and free) domestic universities (ETH, EPFL, St. Gallen) are the main competition. This is a very affluent market. The country is a hub for elite, private international boarding schools (e.g., Le Rosey, Aiglon).","outreach_actions":["Target the elite private and international boarding schools (e.g., in Vaud, Geneva).","Partner with EducationUSA in Zurich and Geneva.","Focus marketing on the 'global experience' and 'applied learning' rather than just 'prestige', as they already have access to domestic prestige.","Emphasize that Minerva is a community of peers for the world's brightest students."]}</t>
  </si>
  <si>
    <t>GB</t>
  </si>
  <si>
    <t>A-Level and IB system. A major market, but Minerva competes directly with Oxbridge/Russell Group. Students are savvy about university brands and value propositions.</t>
  </si>
  <si>
    <t>{"last_updated":"2025-10-29","overview":"The UK is a primary market for international education. The system is dominated by 2-year 'Sixth Form' (A-Levels) or the IB. Students are savvy consumers, and Minerva competes directly with Oxbridge and other Russell Group universities.","student_profile":"UK students are well-prepared, articulate, and specialized early due to the A-Level system. They are critical of marketing and value prestige, a strong value proposition, and clear career outcomes. They are very familiar with the US application process (via UCAS/Common App).","gap_year_likelihood":"Common. Taking a 'gap year' before university is a well-established and accepted tradition for travel or work.","mandatory_military":"No. Service is voluntary.","education_structure":"Students specialize in 3-4 subjects in 'Sixth Form' (Years 12-13, ages 16-18), taking 'A-Levels'. The IB is a popular alternative, especially in private schools. Applications are done in the final year via UCAS (domestic) or Common App (US).","high_schools_total":4000,"pct_english_or_international_programs":30,"pct_ib_programs":10,"educationusa_presence":"Yes, a very strong presence managed by the Fulbright Commission, with advisors and a major 'USA College Day' fair in London.","international_education_common":true,"notable_patterns":"UCAS is the centralized domestic application system. 'Oxbridge' (Oxford + Cambridge) is the pinnacle of the domestic system. US universities are a popular (but high-cost) alternative. The 'Russell Group' is the equivalent of the Ivy League.","outreach_actions":["Partner with the US-UK Fulbright Commission and attend USA College Day.","Target high-performing independent ('private') schools and 'grammar' schools.","Host events that clearly articulate Minerva's value proposition versus a traditional Russell Group university (global rotation vs. single campus).","Run workshops on 'Beyond A-Levels: Thriving in an Interdisciplinary System'."]}</t>
  </si>
  <si>
    <t>VA</t>
  </si>
  <si>
    <t>No K-12 education system. A non-outreach territory.</t>
  </si>
  <si>
    <t>{"last_updated":"2025-10-29","overview":"Vatican City is an ecclesiastical state. It has no K-12 education system, as its citizens are clergy, officials, or the Swiss Guard. There are no high schools within its borders.","student_profile":"N/A. There are no high school students to recruit.","gap_year_likelihood":"N/A","mandatory_military":"N/A (Service in the Swiss Guard is a form of voluntary service for Swiss citizens).","education_structure":"N/A. The state is home to pontifical universities and academies for post-graduate theological study, but no secondary schools.","high_schools_total":0,"pct_english_or_international_programs":0,"pct_ib_programs":0,"educationusa_presence":"None. Advising is handled by EducationUSA in Italy.","international_education_common":false,"notable_patterns":"This is a non-territory for student outreach. It is included for map completion only.","outreach_actions":["No outreach actions required."]}</t>
  </si>
  <si>
    <t>Event Name</t>
  </si>
  <si>
    <t>Date(s)</t>
  </si>
  <si>
    <t>Time of Event</t>
  </si>
  <si>
    <t>Answer the Organizer</t>
  </si>
  <si>
    <t>Record a Presentation</t>
  </si>
  <si>
    <t>Order Fair Materials</t>
  </si>
  <si>
    <t>Book Flights/Hotels</t>
  </si>
  <si>
    <t>Latest Update</t>
  </si>
  <si>
    <t>Hotel 1</t>
  </si>
  <si>
    <t>Hotel 2</t>
  </si>
  <si>
    <t>Hotel 3</t>
  </si>
  <si>
    <t>Hotel 4</t>
  </si>
  <si>
    <t>Main Points from Organizers</t>
  </si>
  <si>
    <t xml:space="preserve">I need to sleep there. Is there a train going back to Nässjö in the evening?  I checked, there are no trains back in the evening. Cause the train leaves 6 minutes after the event ends. There is a train to Växjö at 21.00. But dad doesn't wanna pick me up in the middle of the night. So stay in copenhagen 2 nights. </t>
  </si>
  <si>
    <t>8:00 AM - 7:00 PM</t>
  </si>
  <si>
    <t>Klub, Linnésgade 25, 1361 Copenhagen</t>
  </si>
  <si>
    <t>Awaiting time slot for call week of Sep 15th. Send photo by Sep 15th.</t>
  </si>
  <si>
    <t>Finalizing slides, need to send to organizers.</t>
  </si>
  <si>
    <t>Arrive at 8:30 AM on Sep 20th. Lunch and dinner provided.</t>
  </si>
  <si>
    <t>Email received Sep 1. Practical information and schedule shared.</t>
  </si>
  <si>
    <t>Ibsens Hotel</t>
  </si>
  <si>
    <t>Hotel Kong Arthur</t>
  </si>
  <si>
    <t>Scandic Nørreport</t>
  </si>
  <si>
    <t>25hours Hotel Indre By</t>
  </si>
  <si>
    <t>Confirmed location, detailed schedule provided. Must send presentation slides and a photo by September 15th. A call is requested for the week of September 15th to coordinate.</t>
  </si>
  <si>
    <t>The audience was heavily skewed towards post-graduate inquiries, but undergraduate leads were high quality.</t>
  </si>
  <si>
    <t>College/Career Fair</t>
  </si>
  <si>
    <t>5:30-7 PM</t>
  </si>
  <si>
    <t>Vilseck High School MPR</t>
  </si>
  <si>
    <t>Vilseck</t>
  </si>
  <si>
    <t>Annual College/Career Fair for students at Vilseck High School.</t>
  </si>
  <si>
    <t>USA College Day</t>
  </si>
  <si>
    <t>September 26-27, 2025</t>
  </si>
  <si>
    <t>Fri: 2:45pm-7pm, Sat: 9:15am-4pm</t>
  </si>
  <si>
    <t>Kensington Town Hall</t>
  </si>
  <si>
    <t>Confirm if still interested in presenting "The Accomplishment Workshop."</t>
  </si>
  <si>
    <t>Pre-recorded 5-7 minute video of "Accomplishment Workshop" due by Sep 18th.</t>
  </si>
  <si>
    <t>Ship materials via PACK &amp; SEND.</t>
  </si>
  <si>
    <t>Welcome drinks networking reception Friday.</t>
  </si>
  <si>
    <t>Email received Sep 7.</t>
  </si>
  <si>
    <t>Holiday Inn London - Kensington High St.</t>
  </si>
  <si>
    <t>The Kensington</t>
  </si>
  <si>
    <t>Copthorne Tara Hotel London Kensington</t>
  </si>
  <si>
    <t>The Laslett</t>
  </si>
  <si>
    <t>The seminar format has changed to a pre-recorded 5-7 minute video. The video should be submitted by September 18th. The content should focus on the "Accomplishment Workshop" and not sell the university.</t>
  </si>
  <si>
    <t>Malmömässan</t>
  </si>
  <si>
    <t>Student interest was overwhelmingly skewed towards Economics and Data Science. The event was well-organized with around 400-500 students.</t>
  </si>
  <si>
    <t>Quality Hotel View</t>
  </si>
  <si>
    <t>Best Western Malmö Arena Hotel</t>
  </si>
  <si>
    <t>Clarion Hotel Malmö Live</t>
  </si>
  <si>
    <t>Scandic Kramer</t>
  </si>
  <si>
    <t>Brussels College Night</t>
  </si>
  <si>
    <t>6-8 PM</t>
  </si>
  <si>
    <t>International School of Brussels</t>
  </si>
  <si>
    <t>Free shuttle from Brussels Central Station to the fair venue. Recommended hotels are Motel One, Hilton Brussels Grand Place Hotel, and Novotel Brussels Off Grand Place.</t>
  </si>
  <si>
    <t>Email sent on Sep 1. More info to follow.</t>
  </si>
  <si>
    <t>Motel One</t>
  </si>
  <si>
    <t>Hilton Brussels Grand Place Hotel</t>
  </si>
  <si>
    <t>Novotel Brussels Off Grand Place</t>
  </si>
  <si>
    <t>The event will be held on September 30th from 6-8 PM at the International School of Brussels. A free shuttle will be provided from Brussels Central Station to the venue. More information about the shuttle will be sent later in the week.</t>
  </si>
  <si>
    <t>5:00 - 8:30 PM</t>
  </si>
  <si>
    <t>The Netherlands</t>
  </si>
  <si>
    <t>Survey coming next week. Contact is Manon Kolsteren.</t>
  </si>
  <si>
    <t>Shuttle option to Luxembourg for those attending that event.</t>
  </si>
  <si>
    <t>Email sent Sep 1.</t>
  </si>
  <si>
    <t>Hampton by Hilton</t>
  </si>
  <si>
    <t>NH Hotels</t>
  </si>
  <si>
    <t>Park Plaza Utrecht</t>
  </si>
  <si>
    <t>Crowne Plaza Utrecht</t>
  </si>
  <si>
    <t>The event is on October 1st. Table set-up is from 5-6 PM with food and drinks provided. The fair is from 6-8:30 PM. The venue is a 5-minute walk from Utrecht Central Station. A shuttle option to Luxembourg is available.</t>
  </si>
  <si>
    <t>Duration of Fair</t>
  </si>
  <si>
    <t>Organization</t>
  </si>
  <si>
    <t>Host Venue/Host School</t>
  </si>
  <si>
    <t>Exhibitor Cost (Est.)</t>
  </si>
  <si>
    <t>Registration Deadline</t>
  </si>
  <si>
    <t>More Details</t>
  </si>
  <si>
    <t>More research</t>
  </si>
  <si>
    <t>Analysis of fit</t>
  </si>
  <si>
    <t>Look into it more</t>
  </si>
  <si>
    <t xml:space="preserve">Should I email them and ask about more info? </t>
  </si>
  <si>
    <t>Sep 16–19, 2025</t>
  </si>
  <si>
    <t>Sep 10-11, 08:30-18:00, Sep 12, 08:30-12:00</t>
  </si>
  <si>
    <t>Gothenburg</t>
  </si>
  <si>
    <t>EAIE Exhibition</t>
  </si>
  <si>
    <t>EAIE</t>
  </si>
  <si>
    <t>Svenska Mässan - the Swedish Exhibition &amp; Congress Centre</t>
  </si>
  <si>
    <t>From €570</t>
  </si>
  <si>
    <t>Typically June/July 2025</t>
  </si>
  <si>
    <t>https://www.eaie.org/</t>
  </si>
  <si>
    <t>Note: Professional conference, not a student fair.</t>
  </si>
  <si>
    <t>Confirmed that this is not a student fair but a higher education conference for professionals.</t>
  </si>
  <si>
    <t>Not a good fit. This is a networking event for higher education professionals, not for student recruitment.</t>
  </si>
  <si>
    <t>Nordic Study Abroad Community (NSAC)</t>
  </si>
  <si>
    <t>The conference gathers up to 150 of the brightest, most ambitious Nordic students. Universities like Cambridge, Harvard, Oxford, and MIT have previously attended.</t>
  </si>
  <si>
    <t>I was there last year</t>
  </si>
  <si>
    <t>We are already going</t>
  </si>
  <si>
    <t>Sep 24–26, 2025</t>
  </si>
  <si>
    <t>09:00 - 13:30 BST</t>
  </si>
  <si>
    <t>Higher Options</t>
  </si>
  <si>
    <t>The Irish Times</t>
  </si>
  <si>
    <t>RDS, Main Hall</t>
  </si>
  <si>
    <t xml:space="preserve">
The cost of a single stand space is €1,490 ex. VAT (€1,832.70 inc. VAT). This price includes:
</t>
  </si>
  <si>
    <t>It seems like it already closed registration on August 28</t>
  </si>
  <si>
    <t>https://higheroptions.irishtimes.com/home?language=en</t>
  </si>
  <si>
    <t>Ireland's largest student fair.</t>
  </si>
  <si>
    <t>Considered Ireland's largest student fair for higher education.</t>
  </si>
  <si>
    <t>A very good fit. High volume of students and a focus on higher education.</t>
  </si>
  <si>
    <t>Sep 26–27, 2025</t>
  </si>
  <si>
    <t>Sep 26, 16:00-19:00, Sep 27, 10:00-15:00 GMT+1</t>
  </si>
  <si>
    <t>US-UK Fulbright Commission</t>
  </si>
  <si>
    <t>Kensington Conference and Event Centre</t>
  </si>
  <si>
    <t>From ~£700</t>
  </si>
  <si>
    <t>Rolling, check website</t>
  </si>
  <si>
    <t>https://www.fulbright.org.uk/</t>
  </si>
  <si>
    <t>The largest US university fair in the UK.</t>
  </si>
  <si>
    <t>Focuses on US university recruitment for UK students.</t>
  </si>
  <si>
    <t>Good fit. Targets students specifically interested in studying in the US.</t>
  </si>
  <si>
    <t>TBD</t>
  </si>
  <si>
    <t>Schaan</t>
  </si>
  <si>
    <t>next-step Berufs- &amp; Bildungstage</t>
  </si>
  <si>
    <t>Govt. of Liechtenstein (ABB)</t>
  </si>
  <si>
    <t>https://digital.next-step.li/</t>
  </si>
  <si>
    <t>National career guidance event.</t>
  </si>
  <si>
    <t>Focuses on general career guidance and education for students in Liechtenstein.</t>
  </si>
  <si>
    <t>Limited fit. Small country, but a good option for building brand presence.</t>
  </si>
  <si>
    <t>This looks interesting</t>
  </si>
  <si>
    <t xml:space="preserve">Should I email them for more info? </t>
  </si>
  <si>
    <t>13:30 - 16:30 CEST</t>
  </si>
  <si>
    <t>CIS International University Fair</t>
  </si>
  <si>
    <t>CIS</t>
  </si>
  <si>
    <t>Le Méridien Paris Arc de Triomphe</t>
  </si>
  <si>
    <t>~€500</t>
  </si>
  <si>
    <t>https://www.cois.org/</t>
  </si>
  <si>
    <t>Standardized fees for member institutions.</t>
  </si>
  <si>
    <t>Targets students from CIS member schools; typically academically strong and globally mobile.</t>
  </si>
  <si>
    <t>Excellent fit. Attracts a highly relevant audience of international students from top-tier international schools.</t>
  </si>
  <si>
    <t>14:00 - 19:00 CEST</t>
  </si>
  <si>
    <t>Geneva</t>
  </si>
  <si>
    <t>CIS Geneva Fair</t>
  </si>
  <si>
    <t>International School of Geneva Campus des Nations</t>
  </si>
  <si>
    <t>~€400-€500</t>
  </si>
  <si>
    <t>14:30 - 19:00 CEST</t>
  </si>
  <si>
    <t>Zurich</t>
  </si>
  <si>
    <t>Zurich International School, Upper School</t>
  </si>
  <si>
    <t>Sep 30–Oct 2, 2025</t>
  </si>
  <si>
    <t>Germany / Belgium</t>
  </si>
  <si>
    <t>Multiple cities</t>
  </si>
  <si>
    <t>SRT Fairs Germany &amp; Belgium Tour</t>
  </si>
  <si>
    <t>SRT Fairs</t>
  </si>
  <si>
    <t>Varies by city</t>
  </si>
  <si>
    <t>€1,200 - €3,600</t>
  </si>
  <si>
    <t>https://srtfairs.com/</t>
  </si>
  <si>
    <t>Cost varies by number of cities.</t>
  </si>
  <si>
    <t>Confirmed that these are tailored fairs for high school students, counselors, and parents, focusing on international university recruitment.</t>
  </si>
  <si>
    <t>Excellent fit. These fairs specifically target well-prepared, globally-minded high school students interested in international education.</t>
  </si>
  <si>
    <t>Expensive</t>
  </si>
  <si>
    <t>Oct 10–11, 2025</t>
  </si>
  <si>
    <t>s-Hertogenbosch</t>
  </si>
  <si>
    <t>Onderwijsbeurs Zuid</t>
  </si>
  <si>
    <t>Organisatie Groep Zuid</t>
  </si>
  <si>
    <t>Brabanthallen 's-Hertogenbosch</t>
  </si>
  <si>
    <t>From ~€2,500</t>
  </si>
  <si>
    <t>Typically Sept 2025</t>
  </si>
  <si>
    <t>https://www.onderwijsbeurs.nl/</t>
  </si>
  <si>
    <t>Prices vary based on booth size.</t>
  </si>
  <si>
    <t>A study choice event for students in Southern Netherlands, for those who are unsure about their next steps.</t>
  </si>
  <si>
    <t>Good fit. Caters to students who are in the crucial phase of making or reconsidering their academic choices.</t>
  </si>
  <si>
    <t>5:30-7PM</t>
  </si>
  <si>
    <t>US Dept of Defense</t>
  </si>
  <si>
    <t>Linnea is going</t>
  </si>
  <si>
    <t>€400</t>
  </si>
  <si>
    <t>Standard fee for CIS members.</t>
  </si>
  <si>
    <t>Standard fee for CIS members. Targets students from CIS member schools; typically academically strong and globally mobile.</t>
  </si>
  <si>
    <t>Alena said it doesn't fit in the budget unfortunately</t>
  </si>
  <si>
    <t>Oct 25-26, 2025</t>
  </si>
  <si>
    <t>Lisbon and Porto</t>
  </si>
  <si>
    <t>Study Abroad Portugal</t>
  </si>
  <si>
    <t>FPP</t>
  </si>
  <si>
    <t>€1,700 - €3,200</t>
  </si>
  <si>
    <t>https://www.fpp.world/</t>
  </si>
  <si>
    <t>Cost depends on package.</t>
  </si>
  <si>
    <t>Targets a wide range of students seeking bachelor's, master's, and postgraduate degrees. The Portuguese market shows high interest in English-taught programs.</t>
  </si>
  <si>
    <t>Excellent fit. A large pool of students interested in studying abroad, particularly for postgraduate programs.</t>
  </si>
  <si>
    <t>Why are all the Portugal fairs so expensive</t>
  </si>
  <si>
    <t>Oct 30–31, 2025</t>
  </si>
  <si>
    <t>09:00-17:00</t>
  </si>
  <si>
    <t>Belval</t>
  </si>
  <si>
    <t>Foire de l’Étudiant</t>
  </si>
  <si>
    <t>Min. of Higher Education</t>
  </si>
  <si>
    <t>Université du Luxembourg</t>
  </si>
  <si>
    <t>Contact Organizer</t>
  </si>
  <si>
    <t>https://meng.gouvernement.lu/</t>
  </si>
  <si>
    <t>Often subsidized for public universities.</t>
  </si>
  <si>
    <t>Aimed at students in their final year of high school, parents, and existing students seeking to change or continue their education.</t>
  </si>
  <si>
    <t>Good fit. Targets a relevant audience of high school students and parents actively considering their future academic paths.</t>
  </si>
  <si>
    <t>Nov 6–9, 2025</t>
  </si>
  <si>
    <t>Luzern</t>
  </si>
  <si>
    <t>ZEBI</t>
  </si>
  <si>
    <t>Messe Luzern AG</t>
  </si>
  <si>
    <t>From ~€1,500</t>
  </si>
  <si>
    <t>Typically Oct 2025</t>
  </si>
  <si>
    <t>https://www.zebi.ch/</t>
  </si>
  <si>
    <t>Exhibitor costs vary widely.</t>
  </si>
  <si>
    <t>A career and education fair for young people making career choices, showcasing professions and continuing education opportunities.</t>
  </si>
  <si>
    <t>Good fit. Attracts students in the process of exploring their options, including university and vocational pathways.</t>
  </si>
  <si>
    <t>Nov 7–8, 2025</t>
  </si>
  <si>
    <t>Zwolle</t>
  </si>
  <si>
    <t>Studiekeuzebeurs Midden</t>
  </si>
  <si>
    <t>IJsselhallen Zwolle</t>
  </si>
  <si>
    <t>https://www.studiekeuzebeurs.nl/</t>
  </si>
  <si>
    <t>An educational fair in the central Netherlands for students exploring study options.</t>
  </si>
  <si>
    <t>Good fit. Attracts students who are actively looking for information about higher education.</t>
  </si>
  <si>
    <t>Cologne</t>
  </si>
  <si>
    <t>Bachelor and More</t>
  </si>
  <si>
    <t>border concepts GmbH</t>
  </si>
  <si>
    <t>From ~€3,150</t>
  </si>
  <si>
    <t>https://www.bachelor-and-more.de/</t>
  </si>
  <si>
    <t>Part of a larger series of fairs.</t>
  </si>
  <si>
    <t>Targets high school seniors and recent graduates interested in bachelor's degree programs abroad.</t>
  </si>
  <si>
    <t>Excellent fit. The target audience of prospective undergraduate students and their parents is a perfect match.</t>
  </si>
  <si>
    <t>CIS Madrid Fair</t>
  </si>
  <si>
    <t>~€400</t>
  </si>
  <si>
    <t>Preliminary date based on last year's event, waiting for details, approximately. Approximately November 11, 2025</t>
  </si>
  <si>
    <t>Student interest was heavily skewed towards business and STEM. The fair was only 2 hours and seemed to be a private event.</t>
  </si>
  <si>
    <t>Probably not going, I talked to Alena about it</t>
  </si>
  <si>
    <t>Nov 14–15, 2025</t>
  </si>
  <si>
    <t>Liège</t>
  </si>
  <si>
    <t>Salon SIEP</t>
  </si>
  <si>
    <t>SIEP</t>
  </si>
  <si>
    <t>From ~€1,000</t>
  </si>
  <si>
    <t>https://salons.siep.be/</t>
  </si>
  <si>
    <t>SIEP offers various booth sizes.</t>
  </si>
  <si>
    <t>An education fair aimed at students and professionals exploring educational and career paths.</t>
  </si>
  <si>
    <t>Good fit. Offers an opportunity to connect with a large, diverse audience of students exploring their options.</t>
  </si>
  <si>
    <t>Small city</t>
  </si>
  <si>
    <t>Nov 18–23, 2025</t>
  </si>
  <si>
    <t>Lausanne</t>
  </si>
  <si>
    <t>Salon des métiers et de la formation</t>
  </si>
  <si>
    <t>MCH Group</t>
  </si>
  <si>
    <t>https://www.metiersformation.ch/</t>
  </si>
  <si>
    <t>Costs vary; contact the organizer.</t>
  </si>
  <si>
    <t>Education and training fair focused on careers and vocational training in addition to higher education.</t>
  </si>
  <si>
    <t>Good fit. Provides a platform to reach a broad audience of students considering various educational paths.</t>
  </si>
  <si>
    <t>Nov 19–20, 2025</t>
  </si>
  <si>
    <t>Careers &amp; Skills Show</t>
  </si>
  <si>
    <t>States of Guernsey</t>
  </si>
  <si>
    <t>https://www.guernseycareers.gg/</t>
  </si>
  <si>
    <t>Community event, stands are typically free.</t>
  </si>
  <si>
    <t>Aimed at students and islanders looking for career and education advice.</t>
  </si>
  <si>
    <t>Limited fit. A small, regional event, but a good option for building brand presence at a low cost.</t>
  </si>
  <si>
    <t>Nov 21–22, 2025</t>
  </si>
  <si>
    <t>Namur</t>
  </si>
  <si>
    <t>Lisbon</t>
  </si>
  <si>
    <t>Unitour Lisbon</t>
  </si>
  <si>
    <t>Circulo Formación</t>
  </si>
  <si>
    <t>From ~€2,000</t>
  </si>
  <si>
    <t>https://www.unitour.es/</t>
  </si>
  <si>
    <t>Packages can include multiple cities.</t>
  </si>
  <si>
    <t>A student fair as part of a multi-city tour.</t>
  </si>
  <si>
    <t>Good fit. Offers direct access to students in the key city of Lisbon.</t>
  </si>
  <si>
    <t>Nov 25–26, 2025</t>
  </si>
  <si>
    <t>Studia Helsinki</t>
  </si>
  <si>
    <t>Finnish Fair Corporation</t>
  </si>
  <si>
    <t>From ~€3,500</t>
  </si>
  <si>
    <t>Typically Oct/Nov 2025</t>
  </si>
  <si>
    <t>https://studia.messukeskus.com/</t>
  </si>
  <si>
    <t>Cost for a standard booth.</t>
  </si>
  <si>
    <t>One of the largest student recruitment fairs in Finland.</t>
  </si>
  <si>
    <t>Very good fit. A major event for Finnish students interested in domestic and international studies.</t>
  </si>
  <si>
    <t>Nov 28–29, 2025</t>
  </si>
  <si>
    <t>Salon SIEP Bruxelles</t>
  </si>
  <si>
    <t>A large education fair in Brussels with high attendance.</t>
  </si>
  <si>
    <t>Very good fit. Offers an opportunity to connect with a large, diverse audience of students exploring their options.</t>
  </si>
  <si>
    <t>Jan–Mar 2026</t>
  </si>
  <si>
    <t>Ta Utdanning fairs</t>
  </si>
  <si>
    <t>Ta Utdanning</t>
  </si>
  <si>
    <t>From ~€1,000/city</t>
  </si>
  <si>
    <t>https://www.tautdanning.no/</t>
  </si>
  <si>
    <t>Cost varies by city and package.</t>
  </si>
  <si>
    <t>A series of fairs targeting motivated students seeking higher education in Norway and abroad.</t>
  </si>
  <si>
    <t>Excellent fit. Norwegian students are highly motivated, English-proficient, and interested in studying abroad.</t>
  </si>
  <si>
    <t>Framtidsmässan Helsingborg</t>
  </si>
  <si>
    <t>TBD / Local Organizer</t>
  </si>
  <si>
    <t>TBD / Autumn 2025</t>
  </si>
  <si>
    <t>Based on your email, last year's fair was an incredibly positive experience with rewarding conversations with students.</t>
  </si>
  <si>
    <t>Excellent fit. The event attracts the right target group of students and provides a positive recruitment experience.</t>
  </si>
  <si>
    <t>I went last year, it was great. It is free. I have emailed with her and it will happen again this year</t>
  </si>
  <si>
    <t>Preliminary date based on last year's event, waiting for details. Approximately  February 5 2026. She mentioned it would be the same time next year</t>
  </si>
  <si>
    <t>University Fair</t>
  </si>
  <si>
    <t>International Bilingual School of Provence</t>
  </si>
  <si>
    <t>Conference for boarding school students</t>
  </si>
  <si>
    <t>I went last year</t>
  </si>
  <si>
    <t>Feb 19–21, 2026</t>
  </si>
  <si>
    <t>u-days</t>
  </si>
  <si>
    <t>Aarhus University</t>
  </si>
  <si>
    <t>Free / Low Cost</t>
  </si>
  <si>
    <t>https://u-days.au.dk/</t>
  </si>
  <si>
    <t>Series of open days.</t>
  </si>
  <si>
    <t>A fair aimed at high school students and those on a gap year to help them choose a university and a city to study in.</t>
  </si>
  <si>
    <t>Excellent fit. The fair targets students at a critical point in their decision-making process, seeking both academic and social fit.</t>
  </si>
  <si>
    <t>Isn't this only to study at Aarhus University? Would they also want to promote other universities</t>
  </si>
  <si>
    <t>Mar 3-4, 2026</t>
  </si>
  <si>
    <t>Manchester</t>
  </si>
  <si>
    <t>UCAS Discovery Fair</t>
  </si>
  <si>
    <t>UCAS</t>
  </si>
  <si>
    <t>Typically Jan/Feb 2026</t>
  </si>
  <si>
    <t>https://www.ucas.com/events</t>
  </si>
  <si>
    <t>Costs provided upon registration inquiry.</t>
  </si>
  <si>
    <t>A large UK-based student fair organized by the country's shared admissions service.</t>
  </si>
  <si>
    <t>Very good fit. Provides direct access to a large audience of UK students and their families.</t>
  </si>
  <si>
    <t>Winchester</t>
  </si>
  <si>
    <t>University of Winchester</t>
  </si>
  <si>
    <t>Venue: University of Winchester.</t>
  </si>
  <si>
    <t>A UCAS fair targeting a specific regional market.</t>
  </si>
  <si>
    <t>Good fit. Offers a focused recruitment opportunity in a particular area.</t>
  </si>
  <si>
    <t>Preliminary date based on last year's event, waiting for details. Approximately  March 10, 2025</t>
  </si>
  <si>
    <t>College Day Scandinavia Oslo</t>
  </si>
  <si>
    <t>College Day Scandinavia</t>
  </si>
  <si>
    <t>Oslo Handelsgymnasium</t>
  </si>
  <si>
    <t>https://collegedayfairs.org/cds-visitors</t>
  </si>
  <si>
    <t>The venue was a cold, old building and not many students came to my table.</t>
  </si>
  <si>
    <t>Preliminary date based on last year's event, waiting for details. Approximately  March 11, 2025</t>
  </si>
  <si>
    <t>College Day Scandinavia Stockholm</t>
  </si>
  <si>
    <t>Victor Rydberg Campus</t>
  </si>
  <si>
    <t>Student interest was heavily concentrated in Economics, Finance, and Data Science. The venue was a beautiful school.</t>
  </si>
  <si>
    <t>Preliminary date based on last year's event, waiting for details. March 12, 2025</t>
  </si>
  <si>
    <t>Copenhagen College Day</t>
  </si>
  <si>
    <t>The campus had a funky vibe with very few students. The atmosphere was pretty unprofessional and unplanned.</t>
  </si>
  <si>
    <t>Mar 11-15, 2026</t>
  </si>
  <si>
    <t>AULA Madrid</t>
  </si>
  <si>
    <t>IFEMA MADRID</t>
  </si>
  <si>
    <t>IFEMA - Feria de Madrid</t>
  </si>
  <si>
    <t>Typically Jan 2026</t>
  </si>
  <si>
    <t>https://www.ifema.es/aula</t>
  </si>
  <si>
    <t>Costs for a basic stand.</t>
  </si>
  <si>
    <t>A large fair attracting a very high number of visitors, including students, teachers, and parents.</t>
  </si>
  <si>
    <t>Very good fit. The high attendance and a focus on both students and their families make this a strong recruitment opportunity.</t>
  </si>
  <si>
    <t>Mar 17-18, 2026</t>
  </si>
  <si>
    <t>Exeter</t>
  </si>
  <si>
    <t>Probably not relevant, they say its for a specific market. What is the market?</t>
  </si>
  <si>
    <t>Mar 18–22, 2026</t>
  </si>
  <si>
    <t>Saló de l’Ensenyament</t>
  </si>
  <si>
    <t>Fira de Barcelona</t>
  </si>
  <si>
    <t>Typically Feb 2026</t>
  </si>
  <si>
    <t>https://www.ensenyament.com/</t>
  </si>
  <si>
    <t>An essential event for guiding future university students. It provides information on a wide range of educational programs.</t>
  </si>
  <si>
    <t>Very good fit. A key event for students, teachers, and families in Catalonia who are making decisions about their academic and professional future.</t>
  </si>
  <si>
    <t>Worcester</t>
  </si>
  <si>
    <t>University of Worcester</t>
  </si>
  <si>
    <t>Venue: University of Worcester.</t>
  </si>
  <si>
    <t>Mar 20-21, 2026</t>
  </si>
  <si>
    <t>Salon SIEP Liège</t>
  </si>
  <si>
    <t>An education fair in Liège.</t>
  </si>
  <si>
    <t>Good fit. Provides an additional recruitment opportunity in Belgium.</t>
  </si>
  <si>
    <t>Mar 23-24, 2026</t>
  </si>
  <si>
    <t>London Excel</t>
  </si>
  <si>
    <t>Venue: London Excel.</t>
  </si>
  <si>
    <t>A major UCAS fair in the capital city.</t>
  </si>
  <si>
    <t>Very good fit. London is a key hub for student recruitment.</t>
  </si>
  <si>
    <t>Preliminary date based on last year's event, waiting for details. Approximately March 27, 2026</t>
  </si>
  <si>
    <t>Nordic Uni Tour</t>
  </si>
  <si>
    <t>Student interest was in STEM, Engineering, and the military. There were almost more university representatives than students.</t>
  </si>
  <si>
    <t>Preliminary date based on last year's event, waiting for details&lt;br&gt;March 28, 2026</t>
  </si>
  <si>
    <t>Well organized</t>
  </si>
  <si>
    <t>Mar 27-28, 2026</t>
  </si>
  <si>
    <t>Mons</t>
  </si>
  <si>
    <t>Salon SIEP Mons</t>
  </si>
  <si>
    <t>An education fair in Mons.</t>
  </si>
  <si>
    <t>Seems expensive to be in a city that is not Brussels or Antwerp</t>
  </si>
  <si>
    <t>Preliminary date based on last year's event, waiting for details&lt;br&gt;March 31, 2026</t>
  </si>
  <si>
    <t>The venue was gorgeous and serene. The event was well-organized, but not enough good students came.</t>
  </si>
  <si>
    <t>TBA March 2026</t>
  </si>
  <si>
    <t>St Helier</t>
  </si>
  <si>
    <t>Higher Education Fair</t>
  </si>
  <si>
    <t>Govt. of Jersey</t>
  </si>
  <si>
    <t>https://www.gov.je/</t>
  </si>
  <si>
    <t>Typically a low-cost or free event.</t>
  </si>
  <si>
    <t>A fair aimed at students making their university decisions.</t>
  </si>
  <si>
    <t>Good fit. Offers a targeted audience of students and prospective students from a specific region with a strong interest in international study.</t>
  </si>
  <si>
    <t>Preliminary date based on last year's event, waiting for details. Approximately April 10, 2026</t>
  </si>
  <si>
    <t>EducationUSA University Fair Barcelona</t>
  </si>
  <si>
    <t>The entire event was fantastic, with amazing planning and organization. The only negative was that there weren't many students.</t>
  </si>
  <si>
    <t>One day</t>
  </si>
  <si>
    <t>International School of Helsinki &amp; Skagerak International School</t>
  </si>
  <si>
    <t>The tour will take place all in one week without a weekend in between. Last year, student interest was in STEM, Engineering, and the military.</t>
  </si>
  <si>
    <t>New logistics and details will be shared in the coming months.</t>
  </si>
  <si>
    <t>The previous event had a good turnout, but the students' interests were very specific.</t>
  </si>
  <si>
    <t>Stay tuned for follow-up details from the organizers.</t>
  </si>
  <si>
    <t>No, the organizers will be following up with more details.</t>
  </si>
  <si>
    <t>Tues 14 April</t>
  </si>
  <si>
    <t>The tour will take place all in one week without a weekend in between. Last year, the event was well organized.</t>
  </si>
  <si>
    <t>The event was well organized last year.</t>
  </si>
  <si>
    <t>The tour will take place all in one week without a weekend in between. Last year, the event was well organized, but not enough good students came.</t>
  </si>
  <si>
    <t>The event was well organized last year, but attendance was low.</t>
  </si>
  <si>
    <t>Bournemouth</t>
  </si>
  <si>
    <t>Bournemouth University</t>
  </si>
  <si>
    <t>Typically Feb/Mar 2026</t>
  </si>
  <si>
    <t>Venue: Bournemouth University.</t>
  </si>
  <si>
    <t>Good fit. Provides a focused recruitment opportunity in a particular area.</t>
  </si>
  <si>
    <t>Thurs 16 April</t>
  </si>
  <si>
    <t>The tour will take place all in one week without a weekend in between.</t>
  </si>
  <si>
    <t>This is a good fit for recruiting in Norway.</t>
  </si>
  <si>
    <t>Brighton</t>
  </si>
  <si>
    <t>The Brighton Centre</t>
  </si>
  <si>
    <t>Venue: The Brighton Centre.</t>
  </si>
  <si>
    <t>Skagerak/Oslo</t>
  </si>
  <si>
    <t>Skagerak International School &amp; Oslo International School</t>
  </si>
  <si>
    <t>The tour will take place all in one week without a weekend in between. Oslo International School will still have a key contact person, Jacqueline Tollaksen, who can assist with visits.</t>
  </si>
  <si>
    <t>Apr 16-19, 2026</t>
  </si>
  <si>
    <t>Porto</t>
  </si>
  <si>
    <t>Qualifica Porto</t>
  </si>
  <si>
    <t>Exponor</t>
  </si>
  <si>
    <t>Typically Mar 2026</t>
  </si>
  <si>
    <t>https://qualifica.exponor.pt/</t>
  </si>
  <si>
    <t>A large fair focused on education.</t>
  </si>
  <si>
    <t>An education and training fair aimed at students, parents, teachers, and professionals.</t>
  </si>
  <si>
    <t>Good fit. The fair attracts a broad audience interested in different educational and professional pathways, including studying abroad.</t>
  </si>
  <si>
    <t>Apr 22-23, 2026</t>
  </si>
  <si>
    <t>Farnborough</t>
  </si>
  <si>
    <t>Farnborough Int'l Exhibition Centre</t>
  </si>
  <si>
    <t>Venue: Farnborough Int'l Exhibition Centre.</t>
  </si>
  <si>
    <t>Middlesbrough</t>
  </si>
  <si>
    <t>Teesside University</t>
  </si>
  <si>
    <t>Typically Mar/Apr 2026</t>
  </si>
  <si>
    <t>Venue: Teesside University.</t>
  </si>
  <si>
    <t>Preliminary date based on last year's event, waiting for details. Approximately May 12, 2026</t>
  </si>
  <si>
    <t>University fair</t>
  </si>
  <si>
    <t>Antwerp International School</t>
  </si>
  <si>
    <t>The students had an interest in Psychology and Business. The event was well-organized, but it was at an awkward time, so not many students were there.</t>
  </si>
  <si>
    <t>International School of Brussel</t>
  </si>
  <si>
    <t>The school was very remote and located in a massive forest. The students were very friendly and had an interest in Psychology, Anthropology, and Business.</t>
  </si>
  <si>
    <t>Preliminary date based on last year's event, waiting for details. Approximately May 19, 2026</t>
  </si>
  <si>
    <t>UWC Wales mini fair</t>
  </si>
  <si>
    <t>UWC Wales</t>
  </si>
  <si>
    <t>The students were fantastic, with an interdisciplinary focus. The venue was a gorgeous castle, but it was low tech. The students were very grateful for the visit.</t>
  </si>
  <si>
    <t>Maidstone</t>
  </si>
  <si>
    <t>Kent Event Centre</t>
  </si>
  <si>
    <t>Typically Apr/May 2026</t>
  </si>
  <si>
    <t>Venue: Kent Event Centre.</t>
  </si>
  <si>
    <t>Jun 3-4, 2026</t>
  </si>
  <si>
    <t>London (East)</t>
  </si>
  <si>
    <t>University of East London</t>
  </si>
  <si>
    <t>Venue: University of East London.</t>
  </si>
  <si>
    <t>A UCAS fair targeting the eastern London market.</t>
  </si>
  <si>
    <t>Good fit. Provides a regional recruitment opportunity in a major city.</t>
  </si>
  <si>
    <t>Newcastle</t>
  </si>
  <si>
    <t>Utilita Arena Newcastle</t>
  </si>
  <si>
    <t>Venue: Utilita Arena Newcastle.</t>
  </si>
  <si>
    <t>Sheffield</t>
  </si>
  <si>
    <t>Utilita Arena Sheffield</t>
  </si>
  <si>
    <t>Venue: Utilita Arena Sheffield.</t>
  </si>
  <si>
    <t>Liverpool</t>
  </si>
  <si>
    <t>ACC Liverpool</t>
  </si>
  <si>
    <t>Venue: ACC Liverpool.</t>
  </si>
  <si>
    <t>Jun 17-18, 2026</t>
  </si>
  <si>
    <t>Leeds</t>
  </si>
  <si>
    <t>Leeds Beckett University</t>
  </si>
  <si>
    <t>Venue: Leeds Beckett University.</t>
  </si>
  <si>
    <t>Hull</t>
  </si>
  <si>
    <t>University of Hull</t>
  </si>
  <si>
    <t>Venue: University of Hull.</t>
  </si>
  <si>
    <t>Jun 22-23, 2026</t>
  </si>
  <si>
    <t>Birmingham</t>
  </si>
  <si>
    <t>NEC Birmingham</t>
  </si>
  <si>
    <t>Venue: NEC Birmingham.</t>
  </si>
  <si>
    <t>A major UCAS fair in a key city.</t>
  </si>
  <si>
    <t>Very good fit. Birmingham is a large urban center with many students.</t>
  </si>
  <si>
    <t>Jun 24-25, 2026</t>
  </si>
  <si>
    <t>Bedford</t>
  </si>
  <si>
    <t>University of Bedfordshire</t>
  </si>
  <si>
    <t>Venue: University of Bedfordshire.</t>
  </si>
  <si>
    <t>Stoke-on-Trent</t>
  </si>
  <si>
    <t>University of Staffordshire</t>
  </si>
  <si>
    <t>Venue: University of Staffordshire.</t>
  </si>
  <si>
    <t>Carlisle</t>
  </si>
  <si>
    <t>University of Cumbria</t>
  </si>
  <si>
    <t>Venue: University of Cumbria.</t>
  </si>
  <si>
    <t>Lincoln</t>
  </si>
  <si>
    <t>University of Lincoln</t>
  </si>
  <si>
    <t>Typically May/Jun 2026</t>
  </si>
  <si>
    <t>Venue: University of Lincoln.</t>
  </si>
  <si>
    <t>TBA July 2026</t>
  </si>
  <si>
    <t>Floriana</t>
  </si>
  <si>
    <t>"I Choose" Fair</t>
  </si>
  <si>
    <t>Min. for Education</t>
  </si>
  <si>
    <t>https://education.gov.mt/</t>
  </si>
  <si>
    <t>The government's main post-secondary guidance fair.</t>
  </si>
  <si>
    <t>A fair targeting all Year 11 students as they complete compulsory education and explore their post-secondary and career options.</t>
  </si>
  <si>
    <t>Excellent fit. The fair is designed to help students at a pivotal moment, and its focus on helping them make informed choices is a strong match.</t>
  </si>
  <si>
    <t>Here's a summary of the key findings from the analysis:</t>
  </si>
  <si>
    <t>Excellent Fit:</t>
  </si>
  <si>
    <t>Fairs like USA College Day (UK), CIS International University Fair (France), are highly recommended. They target high-achieving, internationally-minded students with a strong motivation to study abroad, which aligns perfectly with Minerva's unique model.</t>
  </si>
  <si>
    <t>Strong Fit:</t>
  </si>
  <si>
    <t>Fairs such as Higher Options (Ireland) and the ISCA Education Fairs (Switzerland) are also very good options as they attract the right age group and provide opportunities for direct engagement with students and their families.</t>
  </si>
  <si>
    <t>Poor Fit:</t>
  </si>
  <si>
    <t>I found that the Go Global Fair (Spain) is likely not an appropriate event for recruitment as it is primarily a corporate and business-focused fair. Additionally, the Study in UK Day (Norway) seems to be a specific university's event, not a large-scale student fair.</t>
  </si>
  <si>
    <t xml:space="preserve">Countries included in the list: </t>
  </si>
  <si>
    <t>Andorra, Antarctica, Austria, Belgium, Bonair, Saint Eustatius and Saba, British Indian Ocean Territory, Denmark, Faroe Islands, Finland, France, Germany, Gibraltar, Greenland, Guernsey, Iceland, Ireland (Republic), Italy, Jersey, Liechtenstein, Luxembourg, Malta, Monaco, Netherlands, Norway, Portugal, San Marino, Spain, Sweden, Switzerland, United Kingdom, Vatican City</t>
  </si>
  <si>
    <t>Contact Type</t>
  </si>
  <si>
    <t>Name/School Name</t>
  </si>
  <si>
    <t>Title/Role</t>
  </si>
  <si>
    <t>Location</t>
  </si>
  <si>
    <t>Email Address</t>
  </si>
  <si>
    <t>Phone Number</t>
  </si>
  <si>
    <t>Last Email Received</t>
  </si>
  <si>
    <t>Notes/Next Steps</t>
  </si>
  <si>
    <t>Date of Last Contact</t>
  </si>
  <si>
    <t>School councelor</t>
  </si>
  <si>
    <t>Mark Chalkley</t>
  </si>
  <si>
    <t>Senior University Counsellor, Student Advisor</t>
  </si>
  <si>
    <t>UWC Red Cross Nordic (UWC RCN)</t>
  </si>
  <si>
    <t>Flekke, Norway</t>
  </si>
  <si>
    <t>(Not provided)</t>
  </si>
  <si>
    <t>Tel: +47 5773 7098, Mob +47 4580 4973</t>
  </si>
  <si>
    <t xml:space="preserve">Very established Relationship, good friends, he was Linnea's school councelor, he is the reason Linnea went to Minerva </t>
  </si>
  <si>
    <t>"Hi Linnea! I will be sure to share your contact details and the link to upcoming events with all of our second years... we also accept any visits on any weekend so November would work well and if you avoid the weekend of 7th to 9th November a weekend could be all yours!"</t>
  </si>
  <si>
    <t>Mark is open to a weekend visit in November, with the exception of Nov 7-9. Follow up to confirm a specific date.</t>
  </si>
  <si>
    <t>Ognjen Dedagić / UWC Adriatic</t>
  </si>
  <si>
    <t>Duino Aurisina, ITALY</t>
  </si>
  <si>
    <t>Professional contact; shared UWC community</t>
  </si>
  <si>
    <t>Dear Linnea, although we generally welcome all visits from universities we do have a policy and a recommended timing for the visits. The days you suggested are really not ideal as the IBDP1 students still have to have the first big university applications meeting on the 14th of April and we usually do not host university talks before that event. Obviously, the Fall is the best moment to reach out to students (we have 40-50 institutions visiting each Fall). I understand that you might be in the area now so the only thing that could be arranged is a more informal chat on Wednesday the 9th in the afternoon. I can advertise that you will be visiting and potentially interested student (who do not have CAS commitments) could come... Let me know, - Suggested potential visit dates: Sep 25, Oct 7, Oct 10, Nov 5, and Nov 7.</t>
  </si>
  <si>
    <t>Suggested potential visit dates: Sep 25, Oct 7, Oct 10, Nov 5, and Nov 7. - get back to him with my planned dates.</t>
  </si>
  <si>
    <t>Iva Hořejší / UWC Robert Bosch College</t>
  </si>
  <si>
    <t>Alumni Engagement Coordinator and Career Counsellor</t>
  </si>
  <si>
    <t>UWC Robert Bosch College</t>
  </si>
  <si>
    <t>Freiburg, Germany</t>
  </si>
  <si>
    <t>iva.horejsi@uwcrobertboschcollege.de</t>
  </si>
  <si>
    <t>Shared UWC alumni connection</t>
  </si>
  <si>
    <t>Coordinate a visit with Linnea and Patrice for a talk with Global Politics students. I think its best if only Patrice goes, as she is the Provost and has higher ranking</t>
  </si>
  <si>
    <t>Cristina Mocanu</t>
  </si>
  <si>
    <t>University Counselor, CAS Coordinator</t>
  </si>
  <si>
    <t>H-FARM International School Venezia</t>
  </si>
  <si>
    <t>Roncade, Treviso, Italy</t>
  </si>
  <si>
    <t>cristina.mocanu@h-is.com</t>
  </si>
  <si>
    <t>"+39 0422 789503"</t>
  </si>
  <si>
    <t>Established Relationship (Met in person, recorded a seminar, had lunch)</t>
  </si>
  <si>
    <t>"Dear Linnea, It was a pleasure having you on campus today. As per our discussion I would love it if you could connect our CEO, Mr Antonello Barbaro with someone from San Francisco to explore partnership projects together."</t>
  </si>
  <si>
    <t>Connect her CEO, Antonello Barbaro, with a contact from San Francisco to explore partnership projects.</t>
  </si>
  <si>
    <t>Daniela De Vido</t>
  </si>
  <si>
    <t>School Librarian / University Advisor / Exam Officer</t>
  </si>
  <si>
    <t>O.M.C. Collegio Vescovile Pio X</t>
  </si>
  <si>
    <t>Treviso, Italy</t>
  </si>
  <si>
    <t>daniela.devido@collegiopiox.it</t>
  </si>
  <si>
    <t>"+39 3472946387", "+39 0422-411725"</t>
  </si>
  <si>
    <t>Established Relationship (Had an in-person meeting)</t>
  </si>
  <si>
    <t xml:space="preserve">Meeting at her school </t>
  </si>
  <si>
    <t>In-person visit successfully completed despite a train delay. Students had a tight schedule. Re-establish contact to follow up on the visit and see if any students were interested.</t>
  </si>
  <si>
    <t>IB Coordinator &amp; Teacher</t>
  </si>
  <si>
    <t>Janine Bokor</t>
  </si>
  <si>
    <t>Per Brahe Gymnasiet</t>
  </si>
  <si>
    <t>Jönköping, Sweden</t>
  </si>
  <si>
    <t>janine.bokor@jonkoping.se</t>
  </si>
  <si>
    <t>Professional contact; Linnea is an alumna of the school</t>
  </si>
  <si>
    <t>Confirmed meeting for a presentation on Jan 29 at 15:20. Linnea asked about presentation length and technical setup. Great success with a presentation last year.</t>
  </si>
  <si>
    <t>Tracy King</t>
  </si>
  <si>
    <t>University and Careers guidance counsellor</t>
  </si>
  <si>
    <t>British International School of Stockholm</t>
  </si>
  <si>
    <t>Danderyd, Sweden</t>
  </si>
  <si>
    <t>t.king@bisstockholm.se</t>
  </si>
  <si>
    <t>Established Relationship</t>
  </si>
  <si>
    <t>Meeting at her school  on Jan 2025, we had a good meeting. They are interested in the Finding your fit workshop.</t>
  </si>
  <si>
    <t>Initial contact in November 2024 led to a confirmed in-person meeting in January 2025 at the Ekeby Campus. Follow up to see how the visit went.</t>
  </si>
  <si>
    <t>Study and Career Counselor</t>
  </si>
  <si>
    <t>Lotta Seger</t>
  </si>
  <si>
    <t>Sven Eriksonsgymnasiet</t>
  </si>
  <si>
    <t>Borås, Sweden</t>
  </si>
  <si>
    <t>lotta.seger@boras.se</t>
  </si>
  <si>
    <t>0768-88 32 06</t>
  </si>
  <si>
    <t>Professional Contact, email only</t>
  </si>
  <si>
    <t>Email only</t>
  </si>
  <si>
    <t>Did not attend their fair. Wants to email again to ask if they will have a fair this year.</t>
  </si>
  <si>
    <t>University Counselor, IB CAS Coordinator</t>
  </si>
  <si>
    <t>Marjorana Karathanasis</t>
  </si>
  <si>
    <t>American School of Milan</t>
  </si>
  <si>
    <t>Milan, Italy</t>
  </si>
  <si>
    <t>mkarathanasis@asmilan.org</t>
  </si>
  <si>
    <t>(+39) 02 53000059</t>
  </si>
  <si>
    <t xml:space="preserve">Professional Contact, met her in person </t>
  </si>
  <si>
    <t xml:space="preserve">Meeting at her school  on Jan 2025 </t>
  </si>
  <si>
    <t>Confirmed a visit for a university fair on April 11 from 12:25-1:20. Was asked to arrive at 11:45.</t>
  </si>
  <si>
    <t>IB Guidance and Careers Counselor</t>
  </si>
  <si>
    <t>Anu Havula</t>
  </si>
  <si>
    <t>Helsingin Suomalainen Yhteskoulu (SYK)</t>
  </si>
  <si>
    <t>Helsinki, Finland</t>
  </si>
  <si>
    <t>anu.havula@syk.fi</t>
  </si>
  <si>
    <t xml:space="preserve">She never responded to my email </t>
  </si>
  <si>
    <t>Met at the Helsinki Nordic Uni Tour in spring 2025, where you had a great conversation. The email was a follow-up to this meeting to introduce Minerva and propose a visit. Anu responded positively and confirmed she would love for you to visit. She is an IB Guidance and Careers Counselor at a top-ranked IB school with an average student score of 37/45.</t>
  </si>
  <si>
    <t>Country / Region</t>
  </si>
  <si>
    <t>Focus / Mission</t>
  </si>
  <si>
    <t>Pricing &amp; Engagement Model</t>
  </si>
  <si>
    <t>OeAD</t>
  </si>
  <si>
    <t>Austria's main agency for education and internationalisation. Manages exchange programs.</t>
  </si>
  <si>
    <t>Free Outreach &amp; Paid Events</t>
  </si>
  <si>
    <t>https://oead.at/en/</t>
  </si>
  <si>
    <t>Study in Austria</t>
  </si>
  <si>
    <t>The official national portal for international students, run by OeAD.</t>
  </si>
  <si>
    <t>Free Information Resource</t>
  </si>
  <si>
    <t>https://www.studyinaustria.at/</t>
  </si>
  <si>
    <t>AEF-Europe</t>
  </si>
  <si>
    <t>Belgium (French Community)</t>
  </si>
  <si>
    <t>The Erasmus+ agency for French-speaking Belgium, facilitating mobility.</t>
  </si>
  <si>
    <t>Free Outreach (Program-based)</t>
  </si>
  <si>
    <t>https://www.aef-europe.be/</t>
  </si>
  <si>
    <t>EPOS</t>
  </si>
  <si>
    <t>Belgium (Flemish Community)</t>
  </si>
  <si>
    <t>The Erasmus+ agency for the Flemish Community, facilitating mobility.</t>
  </si>
  <si>
    <t>https://www.epos-vlaanderen.be/</t>
  </si>
  <si>
    <t>Study in Flanders</t>
  </si>
  <si>
    <t>Belgium (Flanders)</t>
  </si>
  <si>
    <t>Official portal for promoting higher education in Flanders.</t>
  </si>
  <si>
    <t>https://www.studyinflanders.be/</t>
  </si>
  <si>
    <t>Ministry of Higher Education &amp; Science</t>
  </si>
  <si>
    <t>Official government body. Runs the "Study in Denmark" portal.</t>
  </si>
  <si>
    <t>Free Outreach</t>
  </si>
  <si>
    <t>https://ufm.dk/en</t>
  </si>
  <si>
    <t>Study in Denmark</t>
  </si>
  <si>
    <t>The official national portal for international students.</t>
  </si>
  <si>
    <t>https://studyindenmark.dk/</t>
  </si>
  <si>
    <t>EDUFI</t>
  </si>
  <si>
    <t>Finnish National Agency for Education; manages "Study in Finland".</t>
  </si>
  <si>
    <t>Free Outreach &amp; Paid Campaigns</t>
  </si>
  <si>
    <t>https://www.oph.fi/en</t>
  </si>
  <si>
    <t>Study in Finland</t>
  </si>
  <si>
    <t>https://www.studyinfinland.fi/</t>
  </si>
  <si>
    <t>Campus France</t>
  </si>
  <si>
    <t>Official government agency for promoting French higher education.</t>
  </si>
  <si>
    <t>Membership-Based &amp; Event Fees</t>
  </si>
  <si>
    <t>https://www.campusfrance.org/en</t>
  </si>
  <si>
    <t>L'Etudiant</t>
  </si>
  <si>
    <t>A major private media company with hugely popular fairs and student resources.</t>
  </si>
  <si>
    <t>Paid Advertising &amp; Fair Fees</t>
  </si>
  <si>
    <t>https://www.letudiant.fr/</t>
  </si>
  <si>
    <t>DAAD</t>
  </si>
  <si>
    <t>German Academic Exchange Service; the primary promotional body.</t>
  </si>
  <si>
    <t>Free &amp; Paid Services</t>
  </si>
  <si>
    <t>https://www.daad.de/en/</t>
  </si>
  <si>
    <t>Study in Germany</t>
  </si>
  <si>
    <t>The official national portal for international students, run by DAAD.</t>
  </si>
  <si>
    <t>https://www.study-in-germany.de/en/</t>
  </si>
  <si>
    <t>KMK (Kultusministerkonferenz)</t>
  </si>
  <si>
    <t>The Standing Conference of the Ministers of Education and Cultural Affairs of the Länder.</t>
  </si>
  <si>
    <t>Free Outreach (Policy-level)</t>
  </si>
  <si>
    <t>https://www.kmk.org/</t>
  </si>
  <si>
    <t>Rannís</t>
  </si>
  <si>
    <t>The Icelandic Centre for Research; manages Erasmus+ and "Study in Iceland".</t>
  </si>
  <si>
    <t>https://en.rannis.is/</t>
  </si>
  <si>
    <t>Study in Iceland</t>
  </si>
  <si>
    <t>https://www.studyiniceland.is/</t>
  </si>
  <si>
    <t>Education in Ireland</t>
  </si>
  <si>
    <t>The national brand promoting Irish Higher Education Institutions.</t>
  </si>
  <si>
    <t>Partnership &amp; Event Fees</t>
  </si>
  <si>
    <t>https://www.educationinireland.com/</t>
  </si>
  <si>
    <t>HEA (Higher Education Authority)</t>
  </si>
  <si>
    <t>The statutory policy-advisory body for higher education.</t>
  </si>
  <si>
    <t>https://hea.ie/</t>
  </si>
  <si>
    <t>Uni-Italia</t>
  </si>
  <si>
    <t>Official association for promoting Italian higher education abroad.</t>
  </si>
  <si>
    <t>Membership &amp; Service Fees</t>
  </si>
  <si>
    <t>https://www.uni-italia.net/</t>
  </si>
  <si>
    <t>Ministero dell'Università e della Ricerca</t>
  </si>
  <si>
    <t>The government ministry for University and Research.</t>
  </si>
  <si>
    <t>https://www.mur.gov.it/it</t>
  </si>
  <si>
    <t>MESR</t>
  </si>
  <si>
    <t>Ministry of Higher Education and Research.</t>
  </si>
  <si>
    <t>https://mesr.gouvernement.lu/en.html</t>
  </si>
  <si>
    <t>anefore</t>
  </si>
  <si>
    <t>The national agency for the Erasmus+ programme in Luxembourg.</t>
  </si>
  <si>
    <t>https://www.anefore.lu/</t>
  </si>
  <si>
    <t>Ministry for Education</t>
  </si>
  <si>
    <t>The government ministry overseeing education and promotion.</t>
  </si>
  <si>
    <t>Free Outreach &amp; Event Sponsorship</t>
  </si>
  <si>
    <t>Nuffic</t>
  </si>
  <si>
    <t>The Dutch organization for internationalization in education.</t>
  </si>
  <si>
    <t>https://www.nuffic.nl/en</t>
  </si>
  <si>
    <t>Study in Holland</t>
  </si>
  <si>
    <t>https://www.studyinholland.nl/</t>
  </si>
  <si>
    <t>HK-dir</t>
  </si>
  <si>
    <t>Directorate for Higher Education and Skills; runs "Study in Norway".</t>
  </si>
  <si>
    <t>https://hkdir.no/en/</t>
  </si>
  <si>
    <t>Study in Norway</t>
  </si>
  <si>
    <t>https://www.studyinnorway.no/</t>
  </si>
  <si>
    <t>DGES</t>
  </si>
  <si>
    <t>Directorate-General for Higher Education; runs "Study &amp; Research in Portugal".</t>
  </si>
  <si>
    <t>https://www.dges.gov.pt/en</t>
  </si>
  <si>
    <t>Study &amp; Research in Portugal</t>
  </si>
  <si>
    <t>https://www.study-research.pt/</t>
  </si>
  <si>
    <t>SEPIE</t>
  </si>
  <si>
    <t>Spanish Service for the Internationalization of Education.</t>
  </si>
  <si>
    <t>https://www.sepie.es/</t>
  </si>
  <si>
    <t>Study in Spain</t>
  </si>
  <si>
    <t>https://www.studyinspain.info/</t>
  </si>
  <si>
    <t>UHR</t>
  </si>
  <si>
    <t>Swedish Council for Higher Education; runs "Study in Sweden".</t>
  </si>
  <si>
    <t>https://www.uhr.se/en/</t>
  </si>
  <si>
    <t>Study in Sweden</t>
  </si>
  <si>
    <t>https://studyinsweden.se/</t>
  </si>
  <si>
    <t>swissuniversities</t>
  </si>
  <si>
    <t>The rectors' conference of the Swiss universities.</t>
  </si>
  <si>
    <t>https://www.swissuniversities.ch/en/</t>
  </si>
  <si>
    <t>Movetia</t>
  </si>
  <si>
    <t>Swiss agency for exchange and mobility.</t>
  </si>
  <si>
    <t>https://www.movetia.ch/en</t>
  </si>
  <si>
    <t>British Council</t>
  </si>
  <si>
    <t>The UK's international organization for cultural and educational opportunities.</t>
  </si>
  <si>
    <t>Paid Services</t>
  </si>
  <si>
    <t>https://www.britishcouncil.org/</t>
  </si>
  <si>
    <t>The Universities and Colleges Admissions Service is the central application portal.</t>
  </si>
  <si>
    <t>https://www.ucas.com/</t>
  </si>
  <si>
    <t>&lt;Project Summary: High School CRM Data Migration and Standardization
Context
The overarching goal of this project is to manage, standardize, and maintain a high-quality Customer Relationship Management (CRM) database for high schools, primarily focused on the EMEA region, to facilitate effective outreach and partnership development. The initiative requires migrating and cleaning school data from various sources into a single, unified format. This standardization effort is critical to ensuring all institutional, contact, and relationship tracking information is accurate, consistent, and complete, thereby establishing a reliable foundation for all future engagement activities with potential school partners. The work is currently focused on populating this database for international schools, starting with France and moving through the remaining Western and Northern European countries.
Scope: Data Structure and Geographical Focus
The project's scope is strictly defined by a comprehensive 27-column data structure and a fixed list of countries. The required columns that must be populated for every school record are: SchoolID , School Name , Country , Country Code (New) , Region , City , Address , Strategic Priority Tier , Website , School Phone Number , General Email , IB/Int'l Status , Curriculum , Number of High School Students , Socioeconomic Context , Tuition Fees (Annual) , Special Focus , Primary Contact Name , Primary Contact Title , Primary Contact Email , Relationship Status , Last Contact Type , Date of last contact , Replied Status , Activity Notes , Email Strength (1-5) , and Next Step.
The geographical scope covers the following 32 countries across several European regions and territories: Andorra, Antarctica, Austria, Belgium, Bonaire, Saint Eustatius &amp; Saba, British Indian Ocean Territory, Denmark, Faroe Islands, Finland, France, Germany, Gibraltar, Greenland, Guernsey, Iceland, Ireland (Republic), Italy, Jersey, Liechtenstein, Luxembourg, Malta, Monaco, Netherlands, Norway, Portugal, San Marino, Spain, Sweden, Switzerland, United Kingdom, and Vatican City.
Key Operational Guideline
A critical operational mandate for this project is Mandatory Data Augmentation and Correction. The system must actively seek to ensure data integrity based on the Data_Schema. Specifically, if any record contains missing data in a column designated as MANDATORY—such as the Address or the Primary Contact Email —the agent's core responsibility is to perform an internet search using tools like Google Search to locate and fill in the required information. This proactive measure ensures that the CRM spreadsheet remains complete and functional, preventing missing information from stalling the required outreach and partnership development efforts. Any data filled in using web research will be noted.</t>
  </si>
  <si>
    <t>Country Name (Full)</t>
  </si>
  <si>
    <t>Region</t>
  </si>
  <si>
    <t>Hex code for data</t>
  </si>
  <si>
    <t>Western Europe</t>
  </si>
  <si>
    <t>#f7f1ea</t>
  </si>
  <si>
    <t>Polar Region</t>
  </si>
  <si>
    <t>#e0f2f7</t>
  </si>
  <si>
    <t>Central Europe</t>
  </si>
  <si>
    <t>#f1eaf7</t>
  </si>
  <si>
    <t>#fff9e0</t>
  </si>
  <si>
    <t>Bonaire, Saint Eustatius &amp; Saba</t>
  </si>
  <si>
    <t>Caribbean (Dutch Territories)</t>
  </si>
  <si>
    <t>#f7eaef</t>
  </si>
  <si>
    <t>Indian Ocean</t>
  </si>
  <si>
    <t>#eaf7f1</t>
  </si>
  <si>
    <t>Northern Europe</t>
  </si>
  <si>
    <t>#fdebd0</t>
  </si>
  <si>
    <t>#d4efdf</t>
  </si>
  <si>
    <t>#e8daef</t>
  </si>
  <si>
    <t>#f9e79f</t>
  </si>
  <si>
    <t>#e6e6fa</t>
  </si>
  <si>
    <t>Southern Europe</t>
  </si>
  <si>
    <t>#f5eeea</t>
  </si>
  <si>
    <t>North America/Arctic</t>
  </si>
  <si>
    <t>#d6eaf8</t>
  </si>
  <si>
    <t>Channel Islands</t>
  </si>
  <si>
    <t>#fcf3cf</t>
  </si>
  <si>
    <t>#d1f2eb</t>
  </si>
  <si>
    <t>#fadbd8</t>
  </si>
  <si>
    <t>#ebdef0</t>
  </si>
  <si>
    <t>#d5f5e3</t>
  </si>
  <si>
    <t>#fef9e7</t>
  </si>
  <si>
    <t>#eaf2f8</t>
  </si>
  <si>
    <t>#fdf2e9</t>
  </si>
  <si>
    <t>#f2f4f4</t>
  </si>
  <si>
    <t>#e8f8f5</t>
  </si>
  <si>
    <t>#f4ecf7</t>
  </si>
  <si>
    <t>#fdfefe</t>
  </si>
  <si>
    <t>#fef5e7</t>
  </si>
  <si>
    <t>#e5e8e8</t>
  </si>
  <si>
    <t>#eafaf1</t>
  </si>
  <si>
    <t>#f8f9f9</t>
  </si>
  <si>
    <t>#fdeef1</t>
  </si>
  <si>
    <t>#fcfcfc</t>
  </si>
  <si>
    <t>The 3-letter abbreviations I used (AUT, BEL, AND, ATA, etc.) follow the ISO 3166-1 alpha-3 international standard.</t>
  </si>
  <si>
    <t>This is the globally recognized standard for three-letter country codes, maintained by the International Organization for Standardization (ISO). Using this standard ensures consistency and avoids confusion when working with international data.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</si>
</sst>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mmmm yyyy"/>
    <numFmt numFmtId="166" formatCode="mmm dd, yyyy"/>
    <numFmt numFmtId="167" formatCode="mmm d, yyyy"/>
    <numFmt numFmtId="168" formatCode="mmmm d, yyyy"/>
    <numFmt numFmtId="169" formatCode="M/d/yyyy"/>
    <numFmt numFmtId="170" formatCode="m-d"/>
    <numFmt numFmtId="171" formatCode="dddd, mmmm d, yyyy"/>
  </numFmts>
  <fonts count="52">
    <font>
      <sz val="10.0"/>
      <color rgb="FF000000"/>
      <name val="Arial"/>
      <scheme val="minor"/>
    </font>
    <font>
      <b/>
      <color theme="1"/>
      <name val="Arial"/>
      <scheme val="minor"/>
    </font>
    <font>
      <color theme="1"/>
      <name val="Arial"/>
      <scheme val="minor"/>
    </font>
    <font>
      <color theme="1"/>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sz val="11.0"/>
      <color theme="1"/>
      <name val="Calibri"/>
    </font>
    <font>
      <u/>
      <sz val="11.0"/>
      <color rgb="FF0000FF"/>
      <name val="Calibri"/>
    </font>
    <font>
      <i/>
      <sz val="11.0"/>
      <color rgb="FFFF0000"/>
      <name val="Calibri"/>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b/>
      <color theme="1"/>
      <name val="Arial"/>
    </font>
    <font>
      <u/>
      <color rgb="FF1155CC"/>
      <name val="Arial"/>
    </font>
    <font>
      <b/>
      <sz val="16.0"/>
      <color theme="1"/>
      <name val="Arial"/>
    </font>
    <font>
      <u/>
      <color rgb="FF0000FF"/>
      <name val="Arial"/>
    </font>
    <font>
      <u/>
      <color theme="1"/>
      <name val="Arial"/>
    </font>
    <font>
      <u/>
      <color rgb="FF1155CC"/>
      <name val="Arial"/>
    </font>
    <font>
      <sz val="11.0"/>
      <color rgb="FF474747"/>
      <name val="Arial"/>
    </font>
    <font>
      <sz val="11.0"/>
      <color theme="1"/>
      <name val="Arial"/>
    </font>
  </fonts>
  <fills count="35">
    <fill>
      <patternFill patternType="none"/>
    </fill>
    <fill>
      <patternFill patternType="lightGray"/>
    </fill>
    <fill>
      <patternFill patternType="solid">
        <fgColor rgb="FFFFFFFF"/>
        <bgColor rgb="FFFFFFFF"/>
      </patternFill>
    </fill>
    <fill>
      <patternFill patternType="solid">
        <fgColor rgb="FFF7F1EA"/>
        <bgColor rgb="FFF7F1EA"/>
      </patternFill>
    </fill>
    <fill>
      <patternFill patternType="solid">
        <fgColor rgb="FFE0F2F7"/>
        <bgColor rgb="FFE0F2F7"/>
      </patternFill>
    </fill>
    <fill>
      <patternFill patternType="solid">
        <fgColor rgb="FFF1EAF7"/>
        <bgColor rgb="FFF1EAF7"/>
      </patternFill>
    </fill>
    <fill>
      <patternFill patternType="solid">
        <fgColor rgb="FFFFF9E0"/>
        <bgColor rgb="FFFFF9E0"/>
      </patternFill>
    </fill>
    <fill>
      <patternFill patternType="solid">
        <fgColor rgb="FFF7EAEF"/>
        <bgColor rgb="FFF7EAEF"/>
      </patternFill>
    </fill>
    <fill>
      <patternFill patternType="solid">
        <fgColor rgb="FFEAF7F1"/>
        <bgColor rgb="FFEAF7F1"/>
      </patternFill>
    </fill>
    <fill>
      <patternFill patternType="solid">
        <fgColor rgb="FFFDEBD0"/>
        <bgColor rgb="FFFDEBD0"/>
      </patternFill>
    </fill>
    <fill>
      <patternFill patternType="solid">
        <fgColor rgb="FFD4EFDF"/>
        <bgColor rgb="FFD4EFDF"/>
      </patternFill>
    </fill>
    <fill>
      <patternFill patternType="solid">
        <fgColor rgb="FFE8DAEF"/>
        <bgColor rgb="FFE8DAEF"/>
      </patternFill>
    </fill>
    <fill>
      <patternFill patternType="solid">
        <fgColor rgb="FFF9E79F"/>
        <bgColor rgb="FFF9E79F"/>
      </patternFill>
    </fill>
    <fill>
      <patternFill patternType="solid">
        <fgColor rgb="FFE6E6FA"/>
        <bgColor rgb="FFE6E6FA"/>
      </patternFill>
    </fill>
    <fill>
      <patternFill patternType="solid">
        <fgColor rgb="FFF5EEEA"/>
        <bgColor rgb="FFF5EEEA"/>
      </patternFill>
    </fill>
    <fill>
      <patternFill patternType="solid">
        <fgColor rgb="FFD6EAF8"/>
        <bgColor rgb="FFD6EAF8"/>
      </patternFill>
    </fill>
    <fill>
      <patternFill patternType="solid">
        <fgColor rgb="FFFCF3CF"/>
        <bgColor rgb="FFFCF3CF"/>
      </patternFill>
    </fill>
    <fill>
      <patternFill patternType="solid">
        <fgColor rgb="FFD1F2EB"/>
        <bgColor rgb="FFD1F2EB"/>
      </patternFill>
    </fill>
    <fill>
      <patternFill patternType="solid">
        <fgColor rgb="FFFADBD8"/>
        <bgColor rgb="FFFADBD8"/>
      </patternFill>
    </fill>
    <fill>
      <patternFill patternType="solid">
        <fgColor rgb="FFEBDEF0"/>
        <bgColor rgb="FFEBDEF0"/>
      </patternFill>
    </fill>
    <fill>
      <patternFill patternType="solid">
        <fgColor rgb="FFD5F5E3"/>
        <bgColor rgb="FFD5F5E3"/>
      </patternFill>
    </fill>
    <fill>
      <patternFill patternType="solid">
        <fgColor rgb="FFFEF9E7"/>
        <bgColor rgb="FFFEF9E7"/>
      </patternFill>
    </fill>
    <fill>
      <patternFill patternType="solid">
        <fgColor rgb="FFEAF2F8"/>
        <bgColor rgb="FFEAF2F8"/>
      </patternFill>
    </fill>
    <fill>
      <patternFill patternType="solid">
        <fgColor rgb="FFFDF2E9"/>
        <bgColor rgb="FFFDF2E9"/>
      </patternFill>
    </fill>
    <fill>
      <patternFill patternType="solid">
        <fgColor rgb="FFF2F4F4"/>
        <bgColor rgb="FFF2F4F4"/>
      </patternFill>
    </fill>
    <fill>
      <patternFill patternType="solid">
        <fgColor rgb="FFE8F8F5"/>
        <bgColor rgb="FFE8F8F5"/>
      </patternFill>
    </fill>
    <fill>
      <patternFill patternType="solid">
        <fgColor rgb="FFF4ECF7"/>
        <bgColor rgb="FFF4ECF7"/>
      </patternFill>
    </fill>
    <fill>
      <patternFill patternType="solid">
        <fgColor rgb="FFFDFEFE"/>
        <bgColor rgb="FFFDFEFE"/>
      </patternFill>
    </fill>
    <fill>
      <patternFill patternType="solid">
        <fgColor rgb="FFFEF5E7"/>
        <bgColor rgb="FFFEF5E7"/>
      </patternFill>
    </fill>
    <fill>
      <patternFill patternType="solid">
        <fgColor rgb="FFE5E8E8"/>
        <bgColor rgb="FFE5E8E8"/>
      </patternFill>
    </fill>
    <fill>
      <patternFill patternType="solid">
        <fgColor rgb="FFEAFAF1"/>
        <bgColor rgb="FFEAFAF1"/>
      </patternFill>
    </fill>
    <fill>
      <patternFill patternType="solid">
        <fgColor rgb="FFF8F9F9"/>
        <bgColor rgb="FFF8F9F9"/>
      </patternFill>
    </fill>
    <fill>
      <patternFill patternType="solid">
        <fgColor rgb="FFFDEEF1"/>
        <bgColor rgb="FFFDEEF1"/>
      </patternFill>
    </fill>
    <fill>
      <patternFill patternType="solid">
        <fgColor rgb="FFFCFCFC"/>
        <bgColor rgb="FFFCFCFC"/>
      </patternFill>
    </fill>
    <fill>
      <patternFill patternType="solid">
        <fgColor rgb="FFF3F3F3"/>
        <bgColor rgb="FFF3F3F3"/>
      </patternFill>
    </fill>
  </fills>
  <borders count="6">
    <border/>
    <border>
      <left/>
      <right/>
      <top/>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3" fontId="3" numFmtId="0" xfId="0" applyAlignment="1" applyFill="1" applyFont="1">
      <alignment vertical="bottom"/>
    </xf>
    <xf borderId="0" fillId="3" fontId="4" numFmtId="0" xfId="0" applyAlignment="1" applyFont="1">
      <alignment vertical="bottom"/>
    </xf>
    <xf borderId="0" fillId="3" fontId="3" numFmtId="164" xfId="0" applyAlignment="1" applyFont="1" applyNumberFormat="1">
      <alignment vertical="bottom"/>
    </xf>
    <xf borderId="0" fillId="3" fontId="3" numFmtId="0" xfId="0" applyAlignment="1" applyFont="1">
      <alignment horizontal="right" vertical="bottom"/>
    </xf>
    <xf borderId="0" fillId="4" fontId="3" numFmtId="0" xfId="0" applyAlignment="1" applyFill="1" applyFont="1">
      <alignment vertical="bottom"/>
    </xf>
    <xf borderId="0" fillId="4" fontId="3" numFmtId="0" xfId="0" applyAlignment="1" applyFont="1">
      <alignment horizontal="right" vertical="bottom"/>
    </xf>
    <xf borderId="0" fillId="4" fontId="3" numFmtId="164" xfId="0" applyAlignment="1" applyFont="1" applyNumberFormat="1">
      <alignment vertical="bottom"/>
    </xf>
    <xf borderId="0" fillId="5" fontId="3" numFmtId="0" xfId="0" applyAlignment="1" applyFill="1" applyFont="1">
      <alignment readingOrder="0" vertical="bottom"/>
    </xf>
    <xf borderId="0" fillId="5" fontId="3" numFmtId="0" xfId="0" applyAlignment="1" applyFont="1">
      <alignment vertical="bottom"/>
    </xf>
    <xf borderId="0" fillId="5" fontId="5" numFmtId="0" xfId="0" applyAlignment="1" applyFont="1">
      <alignment vertical="bottom"/>
    </xf>
    <xf borderId="0" fillId="5" fontId="3" numFmtId="164" xfId="0" applyAlignment="1" applyFont="1" applyNumberFormat="1">
      <alignment horizontal="right" vertical="bottom"/>
    </xf>
    <xf borderId="0" fillId="5" fontId="3" numFmtId="0" xfId="0" applyAlignment="1" applyFont="1">
      <alignment horizontal="right" vertical="bottom"/>
    </xf>
    <xf borderId="0" fillId="6" fontId="3" numFmtId="0" xfId="0" applyAlignment="1" applyFill="1" applyFont="1">
      <alignment readingOrder="0" vertical="bottom"/>
    </xf>
    <xf borderId="0" fillId="6" fontId="3" numFmtId="0" xfId="0" applyAlignment="1" applyFont="1">
      <alignment vertical="bottom"/>
    </xf>
    <xf borderId="0" fillId="6" fontId="6" numFmtId="0" xfId="0" applyAlignment="1" applyFont="1">
      <alignment vertical="bottom"/>
    </xf>
    <xf borderId="0" fillId="6" fontId="7" numFmtId="0" xfId="0" applyAlignment="1" applyFont="1">
      <alignment vertical="bottom"/>
    </xf>
    <xf borderId="0" fillId="6" fontId="3" numFmtId="164" xfId="0" applyAlignment="1" applyFont="1" applyNumberFormat="1">
      <alignment horizontal="right" vertical="bottom"/>
    </xf>
    <xf borderId="0" fillId="7" fontId="3" numFmtId="0" xfId="0" applyAlignment="1" applyFill="1" applyFont="1">
      <alignment vertical="bottom"/>
    </xf>
    <xf borderId="0" fillId="7" fontId="8" numFmtId="0" xfId="0" applyAlignment="1" applyFont="1">
      <alignment vertical="bottom"/>
    </xf>
    <xf borderId="0" fillId="7" fontId="9" numFmtId="0" xfId="0" applyAlignment="1" applyFont="1">
      <alignment vertical="bottom"/>
    </xf>
    <xf borderId="0" fillId="0" fontId="3" numFmtId="0" xfId="0" applyAlignment="1" applyFont="1">
      <alignment vertical="bottom"/>
    </xf>
    <xf borderId="0" fillId="8" fontId="3" numFmtId="0" xfId="0" applyAlignment="1" applyFill="1" applyFont="1">
      <alignment vertical="bottom"/>
    </xf>
    <xf borderId="0" fillId="8" fontId="10" numFmtId="0" xfId="0" applyAlignment="1" applyFont="1">
      <alignment vertical="bottom"/>
    </xf>
    <xf borderId="0" fillId="8" fontId="3" numFmtId="0" xfId="0" applyAlignment="1" applyFont="1">
      <alignment horizontal="right" vertical="bottom"/>
    </xf>
    <xf borderId="0" fillId="9" fontId="3" numFmtId="0" xfId="0" applyAlignment="1" applyFill="1" applyFont="1">
      <alignment vertical="bottom"/>
    </xf>
    <xf borderId="0" fillId="9" fontId="3" numFmtId="0" xfId="0" applyAlignment="1" applyFont="1">
      <alignment readingOrder="0" vertical="bottom"/>
    </xf>
    <xf borderId="0" fillId="10" fontId="3" numFmtId="0" xfId="0" applyAlignment="1" applyFill="1" applyFont="1">
      <alignment vertical="bottom"/>
    </xf>
    <xf borderId="0" fillId="9" fontId="11" numFmtId="0" xfId="0" applyAlignment="1" applyFont="1">
      <alignment vertical="bottom"/>
    </xf>
    <xf borderId="0" fillId="10" fontId="12" numFmtId="0" xfId="0" applyAlignment="1" applyFont="1">
      <alignment vertical="bottom"/>
    </xf>
    <xf borderId="0" fillId="10" fontId="13" numFmtId="0" xfId="0" applyAlignment="1" applyFont="1">
      <alignment vertical="bottom"/>
    </xf>
    <xf borderId="0" fillId="11" fontId="3" numFmtId="0" xfId="0" applyAlignment="1" applyFill="1" applyFont="1">
      <alignment vertical="bottom"/>
    </xf>
    <xf borderId="0" fillId="11" fontId="14" numFmtId="0" xfId="0" applyAlignment="1" applyFont="1">
      <alignment vertical="bottom"/>
    </xf>
    <xf borderId="0" fillId="11" fontId="15" numFmtId="0" xfId="0" applyAlignment="1" applyFont="1">
      <alignment vertical="bottom"/>
    </xf>
    <xf borderId="0" fillId="11" fontId="3" numFmtId="0" xfId="0" applyAlignment="1" applyFont="1">
      <alignment horizontal="right" vertical="bottom"/>
    </xf>
    <xf borderId="0" fillId="12" fontId="3" numFmtId="0" xfId="0" applyAlignment="1" applyFill="1" applyFont="1">
      <alignment vertical="bottom"/>
    </xf>
    <xf borderId="0" fillId="11" fontId="3" numFmtId="0" xfId="0" applyAlignment="1" applyFont="1">
      <alignment readingOrder="0" vertical="bottom"/>
    </xf>
    <xf borderId="0" fillId="11" fontId="3" numFmtId="14" xfId="0" applyAlignment="1" applyFont="1" applyNumberFormat="1">
      <alignment readingOrder="0" vertical="bottom"/>
    </xf>
    <xf borderId="0" fillId="12" fontId="3" numFmtId="0" xfId="0" applyAlignment="1" applyFont="1">
      <alignment vertical="bottom"/>
    </xf>
    <xf borderId="0" fillId="12" fontId="16" numFmtId="0" xfId="0" applyAlignment="1" applyFont="1">
      <alignment vertical="bottom"/>
    </xf>
    <xf borderId="0" fillId="12" fontId="3" numFmtId="0" xfId="0" applyAlignment="1" applyFont="1">
      <alignment horizontal="right" vertical="bottom"/>
    </xf>
    <xf borderId="0" fillId="12" fontId="3" numFmtId="165" xfId="0" applyAlignment="1" applyFont="1" applyNumberFormat="1">
      <alignment vertical="bottom"/>
    </xf>
    <xf borderId="0" fillId="13" fontId="3" numFmtId="0" xfId="0" applyAlignment="1" applyFill="1" applyFont="1">
      <alignment vertical="bottom"/>
    </xf>
    <xf borderId="0" fillId="12" fontId="3" numFmtId="166" xfId="0" applyAlignment="1" applyFont="1" applyNumberFormat="1">
      <alignment horizontal="right" vertical="bottom"/>
    </xf>
    <xf borderId="0" fillId="12" fontId="17" numFmtId="0" xfId="0" applyAlignment="1" applyFont="1">
      <alignment vertical="bottom"/>
    </xf>
    <xf borderId="0" fillId="12" fontId="3" numFmtId="0" xfId="0" applyAlignment="1" applyFont="1">
      <alignment horizontal="right" vertical="bottom"/>
    </xf>
    <xf borderId="0" fillId="13" fontId="18" numFmtId="0" xfId="0" applyAlignment="1" applyFont="1">
      <alignment vertical="bottom"/>
    </xf>
    <xf borderId="0" fillId="13" fontId="19" numFmtId="0" xfId="0" applyAlignment="1" applyFont="1">
      <alignment vertical="bottom"/>
    </xf>
    <xf borderId="0" fillId="13" fontId="3" numFmtId="165" xfId="0" applyAlignment="1" applyFont="1" applyNumberFormat="1">
      <alignment horizontal="right" vertical="bottom"/>
    </xf>
    <xf borderId="0" fillId="14" fontId="3" numFmtId="0" xfId="0" applyAlignment="1" applyFill="1" applyFont="1">
      <alignment vertical="bottom"/>
    </xf>
    <xf borderId="0" fillId="14" fontId="20" numFmtId="0" xfId="0" applyAlignment="1" applyFont="1">
      <alignment vertical="bottom"/>
    </xf>
    <xf borderId="0" fillId="14" fontId="21" numFmtId="0" xfId="0" applyAlignment="1" applyFont="1">
      <alignment vertical="bottom"/>
    </xf>
    <xf borderId="0" fillId="15" fontId="3" numFmtId="0" xfId="0" applyAlignment="1" applyFill="1" applyFont="1">
      <alignment vertical="bottom"/>
    </xf>
    <xf borderId="0" fillId="15" fontId="22" numFmtId="0" xfId="0" applyAlignment="1" applyFont="1">
      <alignment vertical="bottom"/>
    </xf>
    <xf borderId="0" fillId="16" fontId="3" numFmtId="0" xfId="0" applyAlignment="1" applyFill="1" applyFont="1">
      <alignment vertical="bottom"/>
    </xf>
    <xf borderId="0" fillId="16" fontId="23" numFmtId="0" xfId="0" applyAlignment="1" applyFont="1">
      <alignment vertical="bottom"/>
    </xf>
    <xf borderId="0" fillId="17" fontId="3" numFmtId="0" xfId="0" applyAlignment="1" applyFill="1" applyFont="1">
      <alignment vertical="bottom"/>
    </xf>
    <xf borderId="0" fillId="17" fontId="24" numFmtId="0" xfId="0" applyAlignment="1" applyFont="1">
      <alignment vertical="bottom"/>
    </xf>
    <xf borderId="0" fillId="17" fontId="3" numFmtId="0" xfId="0" applyAlignment="1" applyFont="1">
      <alignment readingOrder="0" vertical="bottom"/>
    </xf>
    <xf borderId="0" fillId="17" fontId="3" numFmtId="14" xfId="0" applyAlignment="1" applyFont="1" applyNumberFormat="1">
      <alignment readingOrder="0" vertical="bottom"/>
    </xf>
    <xf borderId="0" fillId="18" fontId="3" numFmtId="0" xfId="0" applyAlignment="1" applyFill="1" applyFont="1">
      <alignment vertical="bottom"/>
    </xf>
    <xf borderId="0" fillId="18" fontId="25" numFmtId="0" xfId="0" applyAlignment="1" applyFont="1">
      <alignment vertical="bottom"/>
    </xf>
    <xf borderId="0" fillId="19" fontId="3" numFmtId="0" xfId="0" applyAlignment="1" applyFill="1" applyFont="1">
      <alignment vertical="bottom"/>
    </xf>
    <xf borderId="0" fillId="19" fontId="26" numFmtId="0" xfId="0" applyAlignment="1" applyFont="1">
      <alignment vertical="bottom"/>
    </xf>
    <xf borderId="0" fillId="20" fontId="3" numFmtId="0" xfId="0" applyAlignment="1" applyFill="1" applyFont="1">
      <alignment vertical="bottom"/>
    </xf>
    <xf borderId="0" fillId="20" fontId="27" numFmtId="0" xfId="0" applyAlignment="1" applyFont="1">
      <alignment vertical="bottom"/>
    </xf>
    <xf borderId="0" fillId="21" fontId="3" numFmtId="0" xfId="0" applyAlignment="1" applyFill="1" applyFont="1">
      <alignment vertical="bottom"/>
    </xf>
    <xf borderId="0" fillId="21" fontId="28" numFmtId="0" xfId="0" applyAlignment="1" applyFont="1">
      <alignment vertical="bottom"/>
    </xf>
    <xf borderId="0" fillId="22" fontId="3" numFmtId="0" xfId="0" applyAlignment="1" applyFill="1" applyFont="1">
      <alignment vertical="bottom"/>
    </xf>
    <xf borderId="0" fillId="22" fontId="29" numFmtId="0" xfId="0" applyAlignment="1" applyFont="1">
      <alignment vertical="bottom"/>
    </xf>
    <xf borderId="0" fillId="23" fontId="3" numFmtId="0" xfId="0" applyAlignment="1" applyFill="1" applyFont="1">
      <alignment vertical="bottom"/>
    </xf>
    <xf borderId="0" fillId="23" fontId="30" numFmtId="0" xfId="0" applyAlignment="1" applyFont="1">
      <alignment vertical="bottom"/>
    </xf>
    <xf borderId="0" fillId="24" fontId="3" numFmtId="0" xfId="0" applyAlignment="1" applyFill="1" applyFont="1">
      <alignment vertical="bottom"/>
    </xf>
    <xf borderId="0" fillId="24" fontId="31" numFmtId="0" xfId="0" applyAlignment="1" applyFont="1">
      <alignment vertical="bottom"/>
    </xf>
    <xf borderId="0" fillId="25" fontId="3" numFmtId="0" xfId="0" applyAlignment="1" applyFill="1" applyFont="1">
      <alignment vertical="bottom"/>
    </xf>
    <xf borderId="0" fillId="25" fontId="32" numFmtId="0" xfId="0" applyAlignment="1" applyFont="1">
      <alignment vertical="bottom"/>
    </xf>
    <xf borderId="0" fillId="25" fontId="3" numFmtId="167" xfId="0" applyAlignment="1" applyFont="1" applyNumberFormat="1">
      <alignment horizontal="right" vertical="bottom"/>
    </xf>
    <xf borderId="0" fillId="26" fontId="33" numFmtId="0" xfId="0" applyAlignment="1" applyFill="1" applyFont="1">
      <alignment vertical="bottom"/>
    </xf>
    <xf borderId="0" fillId="26" fontId="33" numFmtId="164" xfId="0" applyAlignment="1" applyFont="1" applyNumberFormat="1">
      <alignment readingOrder="0" vertical="bottom"/>
    </xf>
    <xf borderId="0" fillId="26" fontId="33" numFmtId="0" xfId="0" applyAlignment="1" applyFont="1">
      <alignment readingOrder="0" vertical="bottom"/>
    </xf>
    <xf borderId="0" fillId="26" fontId="33" numFmtId="0" xfId="0" applyAlignment="1" applyFont="1">
      <alignment horizontal="right" vertical="bottom"/>
    </xf>
    <xf borderId="0" fillId="27" fontId="3" numFmtId="0" xfId="0" applyAlignment="1" applyFill="1" applyFont="1">
      <alignment vertical="bottom"/>
    </xf>
    <xf borderId="0" fillId="26" fontId="34" numFmtId="0" xfId="0" applyAlignment="1" applyFont="1">
      <alignment readingOrder="0" vertical="bottom"/>
    </xf>
    <xf borderId="1" fillId="26" fontId="35" numFmtId="0" xfId="0" applyAlignment="1" applyBorder="1" applyFont="1">
      <alignment vertical="bottom"/>
    </xf>
    <xf borderId="0" fillId="27" fontId="3" numFmtId="0" xfId="0" applyAlignment="1" applyFont="1">
      <alignment readingOrder="0" vertical="bottom"/>
    </xf>
    <xf borderId="0" fillId="27" fontId="36" numFmtId="0" xfId="0" applyAlignment="1" applyFont="1">
      <alignment readingOrder="0" vertical="bottom"/>
    </xf>
    <xf borderId="0" fillId="27" fontId="37" numFmtId="0" xfId="0" applyAlignment="1" applyFont="1">
      <alignment vertical="bottom"/>
    </xf>
    <xf borderId="0" fillId="27" fontId="38" numFmtId="0" xfId="0" applyAlignment="1" applyFont="1">
      <alignment readingOrder="0" vertical="bottom"/>
    </xf>
    <xf borderId="0" fillId="28" fontId="3" numFmtId="0" xfId="0" applyAlignment="1" applyFill="1" applyFont="1">
      <alignment vertical="bottom"/>
    </xf>
    <xf borderId="0" fillId="28" fontId="39" numFmtId="0" xfId="0" applyAlignment="1" applyFont="1">
      <alignment vertical="bottom"/>
    </xf>
    <xf borderId="0" fillId="29" fontId="3" numFmtId="0" xfId="0" applyAlignment="1" applyFill="1" applyFont="1">
      <alignment vertical="bottom"/>
    </xf>
    <xf borderId="0" fillId="29" fontId="40" numFmtId="0" xfId="0" applyAlignment="1" applyFont="1">
      <alignment vertical="bottom"/>
    </xf>
    <xf borderId="0" fillId="29" fontId="3" numFmtId="164" xfId="0" applyAlignment="1" applyFont="1" applyNumberFormat="1">
      <alignment horizontal="right" vertical="bottom"/>
    </xf>
    <xf borderId="0" fillId="30" fontId="3" numFmtId="0" xfId="0" applyAlignment="1" applyFill="1" applyFont="1">
      <alignment vertical="bottom"/>
    </xf>
    <xf borderId="0" fillId="30" fontId="41" numFmtId="0" xfId="0" applyAlignment="1" applyFont="1">
      <alignment vertical="bottom"/>
    </xf>
    <xf borderId="0" fillId="31" fontId="3" numFmtId="0" xfId="0" applyAlignment="1" applyFill="1" applyFont="1">
      <alignment vertical="bottom"/>
    </xf>
    <xf borderId="0" fillId="31" fontId="42" numFmtId="0" xfId="0" applyAlignment="1" applyFont="1">
      <alignment vertical="bottom"/>
    </xf>
    <xf borderId="0" fillId="32" fontId="3" numFmtId="0" xfId="0" applyAlignment="1" applyFill="1" applyFont="1">
      <alignment vertical="bottom"/>
    </xf>
    <xf borderId="0" fillId="32" fontId="43" numFmtId="0" xfId="0" applyAlignment="1" applyFont="1">
      <alignment vertical="bottom"/>
    </xf>
    <xf borderId="0" fillId="32" fontId="3" numFmtId="168" xfId="0" applyAlignment="1" applyFont="1" applyNumberFormat="1">
      <alignment horizontal="right" vertical="bottom"/>
    </xf>
    <xf borderId="0" fillId="33" fontId="3" numFmtId="0" xfId="0" applyAlignment="1" applyFill="1" applyFont="1">
      <alignment vertical="bottom"/>
    </xf>
    <xf borderId="0" fillId="33" fontId="3" numFmtId="0" xfId="0" applyAlignment="1" applyFont="1">
      <alignment horizontal="right" vertical="bottom"/>
    </xf>
    <xf borderId="0" fillId="0" fontId="2" numFmtId="0" xfId="0" applyAlignment="1" applyFont="1">
      <alignment readingOrder="0"/>
    </xf>
    <xf borderId="0" fillId="0" fontId="2" numFmtId="0" xfId="0" applyAlignment="1" applyFont="1">
      <alignment readingOrder="0" shrinkToFit="0" wrapText="1"/>
    </xf>
    <xf borderId="0" fillId="0" fontId="2" numFmtId="169" xfId="0" applyAlignment="1" applyFont="1" applyNumberFormat="1">
      <alignment readingOrder="0"/>
    </xf>
    <xf borderId="0" fillId="0" fontId="1" numFmtId="169" xfId="0" applyAlignment="1" applyFont="1" applyNumberFormat="1">
      <alignment readingOrder="0"/>
    </xf>
    <xf borderId="0" fillId="0" fontId="1" numFmtId="0" xfId="0" applyAlignment="1" applyFont="1">
      <alignment readingOrder="0"/>
    </xf>
    <xf borderId="0" fillId="0" fontId="1" numFmtId="0" xfId="0" applyFont="1"/>
    <xf borderId="0" fillId="0" fontId="44"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45" numFmtId="0" xfId="0" applyAlignment="1" applyFont="1">
      <alignment shrinkToFit="0" vertical="bottom" wrapText="1"/>
    </xf>
    <xf borderId="0" fillId="0" fontId="3" numFmtId="0" xfId="0" applyAlignment="1" applyFont="1">
      <alignment horizontal="right" shrinkToFit="0" vertical="bottom" wrapText="1"/>
    </xf>
    <xf borderId="0" fillId="0" fontId="3" numFmtId="3" xfId="0" applyAlignment="1" applyFont="1" applyNumberFormat="1">
      <alignment horizontal="right" shrinkToFit="0" vertical="bottom" wrapText="1"/>
    </xf>
    <xf borderId="0" fillId="0" fontId="3" numFmtId="167" xfId="0" applyAlignment="1" applyFont="1" applyNumberFormat="1">
      <alignment horizontal="right" shrinkToFit="0" vertical="bottom" wrapText="1"/>
    </xf>
    <xf borderId="2" fillId="0" fontId="44" numFmtId="0" xfId="0" applyAlignment="1" applyBorder="1" applyFont="1">
      <alignment shrinkToFit="0" vertical="bottom" wrapText="1"/>
    </xf>
    <xf borderId="3" fillId="0" fontId="44" numFmtId="0" xfId="0" applyAlignment="1" applyBorder="1" applyFont="1">
      <alignment shrinkToFit="0" vertical="bottom" wrapText="1"/>
    </xf>
    <xf borderId="2" fillId="0" fontId="44" numFmtId="0" xfId="0" applyAlignment="1" applyBorder="1" applyFont="1">
      <alignment vertical="bottom"/>
    </xf>
    <xf borderId="4" fillId="0" fontId="44" numFmtId="0" xfId="0" applyAlignment="1" applyBorder="1" applyFont="1">
      <alignment vertical="bottom"/>
    </xf>
    <xf borderId="5" fillId="0" fontId="3" numFmtId="0" xfId="0" applyAlignment="1" applyBorder="1" applyFont="1">
      <alignment vertical="bottom"/>
    </xf>
    <xf borderId="0" fillId="0" fontId="3" numFmtId="0" xfId="0" applyAlignment="1" applyFont="1">
      <alignment horizontal="right" vertical="bottom"/>
    </xf>
    <xf borderId="0" fillId="2" fontId="3" numFmtId="0" xfId="0" applyAlignment="1" applyFont="1">
      <alignment vertical="bottom"/>
    </xf>
    <xf borderId="0" fillId="0" fontId="46" numFmtId="0" xfId="0" applyAlignment="1" applyFont="1">
      <alignment horizontal="right" shrinkToFit="0" vertical="bottom" wrapText="1"/>
    </xf>
    <xf borderId="5" fillId="0" fontId="3" numFmtId="0" xfId="0" applyAlignment="1" applyBorder="1" applyFont="1">
      <alignment horizontal="right" shrinkToFit="0" vertical="bottom" wrapText="1"/>
    </xf>
    <xf borderId="2" fillId="0" fontId="44" numFmtId="0" xfId="0" applyAlignment="1" applyBorder="1" applyFont="1">
      <alignment readingOrder="0" shrinkToFit="0" vertical="bottom" wrapText="1"/>
    </xf>
    <xf borderId="5" fillId="0" fontId="3" numFmtId="0" xfId="0" applyAlignment="1" applyBorder="1" applyFont="1">
      <alignment horizontal="right" vertical="bottom"/>
    </xf>
    <xf borderId="0" fillId="2" fontId="3" numFmtId="0" xfId="0" applyAlignment="1" applyFont="1">
      <alignment shrinkToFit="0" vertical="bottom" wrapText="1"/>
    </xf>
    <xf borderId="0" fillId="0" fontId="47" numFmtId="0" xfId="0" applyAlignment="1" applyFont="1">
      <alignment shrinkToFit="0" vertical="bottom" wrapText="1"/>
    </xf>
    <xf borderId="0" fillId="0" fontId="48" numFmtId="0" xfId="0" applyAlignment="1" applyFont="1">
      <alignment vertical="bottom"/>
    </xf>
    <xf borderId="0" fillId="0" fontId="46" numFmtId="0" xfId="0" applyAlignment="1" applyFont="1">
      <alignment horizontal="right" vertical="bottom"/>
    </xf>
    <xf borderId="0" fillId="0" fontId="49" numFmtId="0" xfId="0" applyAlignment="1" applyFont="1">
      <alignment vertical="bottom"/>
    </xf>
    <xf borderId="0" fillId="2" fontId="50" numFmtId="0" xfId="0" applyAlignment="1" applyFont="1">
      <alignment shrinkToFit="0" vertical="bottom" wrapText="1"/>
    </xf>
    <xf quotePrefix="1" borderId="0" fillId="0" fontId="2" numFmtId="0" xfId="0" applyAlignment="1" applyFont="1">
      <alignment readingOrder="0"/>
    </xf>
    <xf borderId="0" fillId="0" fontId="2" numFmtId="170" xfId="0" applyAlignment="1" applyFont="1" applyNumberFormat="1">
      <alignment readingOrder="0"/>
    </xf>
    <xf quotePrefix="1" borderId="0" fillId="0" fontId="3" numFmtId="0" xfId="0" applyAlignment="1" applyFont="1">
      <alignment vertical="bottom"/>
    </xf>
    <xf borderId="0" fillId="0" fontId="3" numFmtId="168" xfId="0" applyAlignment="1" applyFont="1" applyNumberFormat="1">
      <alignment horizontal="right" shrinkToFit="0" vertical="bottom" wrapText="1"/>
    </xf>
    <xf borderId="0" fillId="0" fontId="3" numFmtId="168" xfId="0" applyAlignment="1" applyFont="1" applyNumberFormat="1">
      <alignment horizontal="right" readingOrder="0" shrinkToFit="0" vertical="bottom" wrapText="1"/>
    </xf>
    <xf borderId="0" fillId="34" fontId="44" numFmtId="0" xfId="0" applyAlignment="1" applyFill="1" applyFont="1">
      <alignment vertical="bottom"/>
    </xf>
    <xf borderId="0" fillId="34" fontId="44" numFmtId="0" xfId="0" applyAlignment="1" applyFont="1">
      <alignment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vertical="bottom"/>
    </xf>
    <xf borderId="0" fillId="0" fontId="3" numFmtId="167" xfId="0" applyAlignment="1" applyFont="1" applyNumberFormat="1">
      <alignment horizontal="right" vertical="bottom"/>
    </xf>
    <xf borderId="0" fillId="0" fontId="3" numFmtId="171" xfId="0" applyAlignment="1" applyFont="1" applyNumberFormat="1">
      <alignment horizontal="right" shrinkToFit="0" vertical="bottom" wrapText="1"/>
    </xf>
    <xf borderId="0" fillId="0" fontId="3" numFmtId="167" xfId="0" applyAlignment="1" applyFont="1" applyNumberFormat="1">
      <alignment shrinkToFit="0" vertical="bottom" wrapText="1"/>
    </xf>
    <xf borderId="0" fillId="0" fontId="3" numFmtId="168" xfId="0" applyAlignment="1" applyFont="1" applyNumberFormat="1">
      <alignment horizontal="right" vertical="bottom"/>
    </xf>
    <xf borderId="0" fillId="0" fontId="51" numFmtId="0" xfId="0" applyAlignment="1" applyFont="1">
      <alignment shrinkToFit="0" vertical="bottom" wrapText="1"/>
    </xf>
    <xf borderId="0" fillId="0" fontId="3" numFmtId="0" xfId="0" applyAlignment="1" applyFont="1">
      <alignment horizontal="center" shrinkToFit="0" vertical="bottom" wrapText="1"/>
    </xf>
    <xf borderId="0" fillId="0" fontId="3" numFmtId="164" xfId="0" applyAlignment="1" applyFont="1" applyNumberFormat="1">
      <alignment vertical="bottom"/>
    </xf>
    <xf borderId="0" fillId="0" fontId="4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da-vinci.be" TargetMode="External"/><Relationship Id="rId190" Type="http://schemas.openxmlformats.org/officeDocument/2006/relationships/hyperlink" Target="https://islyon.org" TargetMode="External"/><Relationship Id="rId42" Type="http://schemas.openxmlformats.org/officeDocument/2006/relationships/hyperlink" Target="http://www.da-vinci.be" TargetMode="External"/><Relationship Id="rId41" Type="http://schemas.openxmlformats.org/officeDocument/2006/relationships/hyperlink" Target="http://www.da-vinci.be" TargetMode="External"/><Relationship Id="rId44" Type="http://schemas.openxmlformats.org/officeDocument/2006/relationships/hyperlink" Target="http://www.beps.com" TargetMode="External"/><Relationship Id="rId194" Type="http://schemas.openxmlformats.org/officeDocument/2006/relationships/hyperlink" Target="http://vtg.dk" TargetMode="External"/><Relationship Id="rId43" Type="http://schemas.openxmlformats.org/officeDocument/2006/relationships/hyperlink" Target="http://www.beps.com" TargetMode="External"/><Relationship Id="rId193" Type="http://schemas.openxmlformats.org/officeDocument/2006/relationships/hyperlink" Target="http://www.fis.edu" TargetMode="External"/><Relationship Id="rId46" Type="http://schemas.openxmlformats.org/officeDocument/2006/relationships/hyperlink" Target="http://www.ecole-montgomery.be" TargetMode="External"/><Relationship Id="rId192" Type="http://schemas.openxmlformats.org/officeDocument/2006/relationships/hyperlink" Target="https://www.ombrosa.com" TargetMode="External"/><Relationship Id="rId45" Type="http://schemas.openxmlformats.org/officeDocument/2006/relationships/hyperlink" Target="http://www.beps.com" TargetMode="External"/><Relationship Id="rId191" Type="http://schemas.openxmlformats.org/officeDocument/2006/relationships/hyperlink" Target="https://www.isn-nice.com" TargetMode="External"/><Relationship Id="rId48" Type="http://schemas.openxmlformats.org/officeDocument/2006/relationships/hyperlink" Target="http://www.ecole-montgomery.be" TargetMode="External"/><Relationship Id="rId187" Type="http://schemas.openxmlformats.org/officeDocument/2006/relationships/hyperlink" Target="https://svis.fr" TargetMode="External"/><Relationship Id="rId47" Type="http://schemas.openxmlformats.org/officeDocument/2006/relationships/hyperlink" Target="http://www.ecole-montgomery.be" TargetMode="External"/><Relationship Id="rId186" Type="http://schemas.openxmlformats.org/officeDocument/2006/relationships/hyperlink" Target="https://www.assomption-bellevue.fr" TargetMode="External"/><Relationship Id="rId185" Type="http://schemas.openxmlformats.org/officeDocument/2006/relationships/hyperlink" Target="https://www.montessori-paris.com" TargetMode="External"/><Relationship Id="rId49" Type="http://schemas.openxmlformats.org/officeDocument/2006/relationships/hyperlink" Target="http://www.lyceefrancais.be" TargetMode="External"/><Relationship Id="rId184" Type="http://schemas.openxmlformats.org/officeDocument/2006/relationships/hyperlink" Target="https://www.forest-international-school.com" TargetMode="External"/><Relationship Id="rId189" Type="http://schemas.openxmlformats.org/officeDocument/2006/relationships/hyperlink" Target="https://intst.eu" TargetMode="External"/><Relationship Id="rId188" Type="http://schemas.openxmlformats.org/officeDocument/2006/relationships/hyperlink" Target="https://mougins-school.com" TargetMode="External"/><Relationship Id="rId31" Type="http://schemas.openxmlformats.org/officeDocument/2006/relationships/hyperlink" Target="http://www.eeb1.com" TargetMode="External"/><Relationship Id="rId30" Type="http://schemas.openxmlformats.org/officeDocument/2006/relationships/hyperlink" Target="http://www.bischool.com" TargetMode="External"/><Relationship Id="rId33" Type="http://schemas.openxmlformats.org/officeDocument/2006/relationships/hyperlink" Target="http://www.eeb1.com" TargetMode="External"/><Relationship Id="rId183" Type="http://schemas.openxmlformats.org/officeDocument/2006/relationships/hyperlink" Target="https://www.strasbourg-europe.eu" TargetMode="External"/><Relationship Id="rId32" Type="http://schemas.openxmlformats.org/officeDocument/2006/relationships/hyperlink" Target="http://www.eeb1.com" TargetMode="External"/><Relationship Id="rId182" Type="http://schemas.openxmlformats.org/officeDocument/2006/relationships/hyperlink" Target="https://www.lycee-saintlouis.fr" TargetMode="External"/><Relationship Id="rId35" Type="http://schemas.openxmlformats.org/officeDocument/2006/relationships/hyperlink" Target="http://www.college-st-michel.be" TargetMode="External"/><Relationship Id="rId181" Type="http://schemas.openxmlformats.org/officeDocument/2006/relationships/hyperlink" Target="https://www.louis-le-grand.fr" TargetMode="External"/><Relationship Id="rId34" Type="http://schemas.openxmlformats.org/officeDocument/2006/relationships/hyperlink" Target="http://www.college-st-michel.be" TargetMode="External"/><Relationship Id="rId180" Type="http://schemas.openxmlformats.org/officeDocument/2006/relationships/hyperlink" Target="https://lycee-henri4.com" TargetMode="External"/><Relationship Id="rId37" Type="http://schemas.openxmlformats.org/officeDocument/2006/relationships/hyperlink" Target="http://www.sintjanberchmanscollege.be" TargetMode="External"/><Relationship Id="rId176" Type="http://schemas.openxmlformats.org/officeDocument/2006/relationships/hyperlink" Target="https://bordeaux-school.com" TargetMode="External"/><Relationship Id="rId36" Type="http://schemas.openxmlformats.org/officeDocument/2006/relationships/hyperlink" Target="http://www.college-st-michel.be" TargetMode="External"/><Relationship Id="rId175" Type="http://schemas.openxmlformats.org/officeDocument/2006/relationships/hyperlink" Target="https://www.ibsofprovence.com" TargetMode="External"/><Relationship Id="rId39" Type="http://schemas.openxmlformats.org/officeDocument/2006/relationships/hyperlink" Target="http://www.sintjanberchmanscollege.be" TargetMode="External"/><Relationship Id="rId174" Type="http://schemas.openxmlformats.org/officeDocument/2006/relationships/hyperlink" Target="https://saintdominique.net" TargetMode="External"/><Relationship Id="rId38" Type="http://schemas.openxmlformats.org/officeDocument/2006/relationships/hyperlink" Target="http://www.sintjanberchmanscollege.be" TargetMode="External"/><Relationship Id="rId173" Type="http://schemas.openxmlformats.org/officeDocument/2006/relationships/hyperlink" Target="https://jean-perrin.paysdelaloire.e-lyco.fr" TargetMode="External"/><Relationship Id="rId179" Type="http://schemas.openxmlformats.org/officeDocument/2006/relationships/hyperlink" Target="https://pia.ac-paris.fr/serail/jcms/s2_150935/fr/accueil" TargetMode="External"/><Relationship Id="rId178" Type="http://schemas.openxmlformats.org/officeDocument/2006/relationships/hyperlink" Target="https://www.lfa-buc.fr" TargetMode="External"/><Relationship Id="rId177" Type="http://schemas.openxmlformats.org/officeDocument/2006/relationships/hyperlink" Target="https://collegecevenol.org" TargetMode="External"/><Relationship Id="rId20" Type="http://schemas.openxmlformats.org/officeDocument/2006/relationships/hyperlink" Target="http://www.isb.be" TargetMode="External"/><Relationship Id="rId22" Type="http://schemas.openxmlformats.org/officeDocument/2006/relationships/hyperlink" Target="http://www.ais-antwerp.be" TargetMode="External"/><Relationship Id="rId21" Type="http://schemas.openxmlformats.org/officeDocument/2006/relationships/hyperlink" Target="http://www.isb.be" TargetMode="External"/><Relationship Id="rId24" Type="http://schemas.openxmlformats.org/officeDocument/2006/relationships/hyperlink" Target="http://www.ais-antwerp.be" TargetMode="External"/><Relationship Id="rId23" Type="http://schemas.openxmlformats.org/officeDocument/2006/relationships/hyperlink" Target="http://www.ais-antwerp.be" TargetMode="External"/><Relationship Id="rId26" Type="http://schemas.openxmlformats.org/officeDocument/2006/relationships/hyperlink" Target="http://www.stjohns.be" TargetMode="External"/><Relationship Id="rId25" Type="http://schemas.openxmlformats.org/officeDocument/2006/relationships/hyperlink" Target="http://www.stjohns.be" TargetMode="External"/><Relationship Id="rId28" Type="http://schemas.openxmlformats.org/officeDocument/2006/relationships/hyperlink" Target="http://www.bischool.com" TargetMode="External"/><Relationship Id="rId27" Type="http://schemas.openxmlformats.org/officeDocument/2006/relationships/hyperlink" Target="http://www.stjohns.be" TargetMode="External"/><Relationship Id="rId29" Type="http://schemas.openxmlformats.org/officeDocument/2006/relationships/hyperlink" Target="http://www.bischool.com" TargetMode="External"/><Relationship Id="rId11" Type="http://schemas.openxmlformats.org/officeDocument/2006/relationships/hyperlink" Target="http://www.gibs.at" TargetMode="External"/><Relationship Id="rId10" Type="http://schemas.openxmlformats.org/officeDocument/2006/relationships/hyperlink" Target="http://www.icsv.at" TargetMode="External"/><Relationship Id="rId13" Type="http://schemas.openxmlformats.org/officeDocument/2006/relationships/hyperlink" Target="http://www.lisa.at" TargetMode="External"/><Relationship Id="rId12" Type="http://schemas.openxmlformats.org/officeDocument/2006/relationships/hyperlink" Target="http://www.lisa-junior.at" TargetMode="External"/><Relationship Id="rId15" Type="http://schemas.openxmlformats.org/officeDocument/2006/relationships/hyperlink" Target="http://www.agibk.at" TargetMode="External"/><Relationship Id="rId198" Type="http://schemas.openxmlformats.org/officeDocument/2006/relationships/hyperlink" Target="http://www.elizabethcollege.gg" TargetMode="External"/><Relationship Id="rId14" Type="http://schemas.openxmlformats.org/officeDocument/2006/relationships/hyperlink" Target="http://www.akadgym.at" TargetMode="External"/><Relationship Id="rId197" Type="http://schemas.openxmlformats.org/officeDocument/2006/relationships/hyperlink" Target="http://www.gu-nuuk.gl" TargetMode="External"/><Relationship Id="rId17" Type="http://schemas.openxmlformats.org/officeDocument/2006/relationships/hyperlink" Target="http://www.britishschool.be" TargetMode="External"/><Relationship Id="rId196" Type="http://schemas.openxmlformats.org/officeDocument/2006/relationships/hyperlink" Target="http://viborgkatedralskole.dk" TargetMode="External"/><Relationship Id="rId16" Type="http://schemas.openxmlformats.org/officeDocument/2006/relationships/hyperlink" Target="http://www.britishschool.be" TargetMode="External"/><Relationship Id="rId195" Type="http://schemas.openxmlformats.org/officeDocument/2006/relationships/hyperlink" Target="http://www.priorparkgibraltar.com" TargetMode="External"/><Relationship Id="rId19" Type="http://schemas.openxmlformats.org/officeDocument/2006/relationships/hyperlink" Target="http://www.isb.be" TargetMode="External"/><Relationship Id="rId18" Type="http://schemas.openxmlformats.org/officeDocument/2006/relationships/hyperlink" Target="http://www.britishschool.be" TargetMode="External"/><Relationship Id="rId199" Type="http://schemas.openxmlformats.org/officeDocument/2006/relationships/hyperlink" Target="http://www.mr.is" TargetMode="External"/><Relationship Id="rId84" Type="http://schemas.openxmlformats.org/officeDocument/2006/relationships/hyperlink" Target="https://www.cesbjerg-gym.dk" TargetMode="External"/><Relationship Id="rId83" Type="http://schemas.openxmlformats.org/officeDocument/2006/relationships/hyperlink" Target="https://www.ceucsyd.dk" TargetMode="External"/><Relationship Id="rId86" Type="http://schemas.openxmlformats.org/officeDocument/2006/relationships/hyperlink" Target="https://www.cfrederiksberggymnasium.dk" TargetMode="External"/><Relationship Id="rId85" Type="http://schemas.openxmlformats.org/officeDocument/2006/relationships/hyperlink" Target="https://www.aesc.dk" TargetMode="External"/><Relationship Id="rId88" Type="http://schemas.openxmlformats.org/officeDocument/2006/relationships/hyperlink" Target="https://www.bgrenaa-gym.dk" TargetMode="External"/><Relationship Id="rId150" Type="http://schemas.openxmlformats.org/officeDocument/2006/relationships/hyperlink" Target="https://cite-scolaire-internationale-ferney-voltaire.fr" TargetMode="External"/><Relationship Id="rId87" Type="http://schemas.openxmlformats.org/officeDocument/2006/relationships/hyperlink" Target="https://www.cghg.dk" TargetMode="External"/><Relationship Id="rId89" Type="http://schemas.openxmlformats.org/officeDocument/2006/relationships/hyperlink" Target="https://www.chasseris-gym.dk" TargetMode="External"/><Relationship Id="rId80" Type="http://schemas.openxmlformats.org/officeDocument/2006/relationships/hyperlink" Target="https://www.bbirke-gym.dk" TargetMode="External"/><Relationship Id="rId82" Type="http://schemas.openxmlformats.org/officeDocument/2006/relationships/hyperlink" Target="https://www.cdgn-aabenraa.dk" TargetMode="External"/><Relationship Id="rId81" Type="http://schemas.openxmlformats.org/officeDocument/2006/relationships/hyperlink" Target="https://www.acis.dk" TargetMode="External"/><Relationship Id="rId1" Type="http://schemas.openxmlformats.org/officeDocument/2006/relationships/hyperlink" Target="https://isandorra.com" TargetMode="External"/><Relationship Id="rId2" Type="http://schemas.openxmlformats.org/officeDocument/2006/relationships/hyperlink" Target="http://www.ais.at" TargetMode="External"/><Relationship Id="rId3" Type="http://schemas.openxmlformats.org/officeDocument/2006/relationships/hyperlink" Target="http://www.danubeschool.com" TargetMode="External"/><Relationship Id="rId149" Type="http://schemas.openxmlformats.org/officeDocument/2006/relationships/hyperlink" Target="https://www.lyc-luynes.ac-aix-marseille.fr" TargetMode="External"/><Relationship Id="rId4" Type="http://schemas.openxmlformats.org/officeDocument/2006/relationships/hyperlink" Target="http://amadeus-vienna.com" TargetMode="External"/><Relationship Id="rId148" Type="http://schemas.openxmlformats.org/officeDocument/2006/relationships/hyperlink" Target="https://lyc-international-dijon.fr" TargetMode="External"/><Relationship Id="rId9" Type="http://schemas.openxmlformats.org/officeDocument/2006/relationships/hyperlink" Target="http://www.lyceefrancais.at" TargetMode="External"/><Relationship Id="rId143" Type="http://schemas.openxmlformats.org/officeDocument/2006/relationships/hyperlink" Target="https://www.ish.edu.fi/" TargetMode="External"/><Relationship Id="rId142" Type="http://schemas.openxmlformats.org/officeDocument/2006/relationships/hyperlink" Target="https://www.turku.fi/puolalanmaki" TargetMode="External"/><Relationship Id="rId141" Type="http://schemas.openxmlformats.org/officeDocument/2006/relationships/hyperlink" Target="https://www.munkkiniemenyhteiskoulu.fi/" TargetMode="External"/><Relationship Id="rId140" Type="http://schemas.openxmlformats.org/officeDocument/2006/relationships/hyperlink" Target="https://www.abo.fi/vos" TargetMode="External"/><Relationship Id="rId5" Type="http://schemas.openxmlformats.org/officeDocument/2006/relationships/hyperlink" Target="http://www.vis.ac.at" TargetMode="External"/><Relationship Id="rId147" Type="http://schemas.openxmlformats.org/officeDocument/2006/relationships/hyperlink" Target="https://www.hel.fi/kielilukio" TargetMode="External"/><Relationship Id="rId6" Type="http://schemas.openxmlformats.org/officeDocument/2006/relationships/hyperlink" Target="http://www.stgis.at" TargetMode="External"/><Relationship Id="rId146" Type="http://schemas.openxmlformats.org/officeDocument/2006/relationships/hyperlink" Target="https://www.englanti.fi/" TargetMode="External"/><Relationship Id="rId7" Type="http://schemas.openxmlformats.org/officeDocument/2006/relationships/hyperlink" Target="http://www.ais-salzburg.at" TargetMode="External"/><Relationship Id="rId145" Type="http://schemas.openxmlformats.org/officeDocument/2006/relationships/hyperlink" Target="https://www.dsh.fi" TargetMode="External"/><Relationship Id="rId8" Type="http://schemas.openxmlformats.org/officeDocument/2006/relationships/hyperlink" Target="http://www.theresianum.ac.at" TargetMode="External"/><Relationship Id="rId144" Type="http://schemas.openxmlformats.org/officeDocument/2006/relationships/hyperlink" Target="https://www.esh.fi" TargetMode="External"/><Relationship Id="rId73" Type="http://schemas.openxmlformats.org/officeDocument/2006/relationships/hyperlink" Target="http://www.sgbonaire.com" TargetMode="External"/><Relationship Id="rId72" Type="http://schemas.openxmlformats.org/officeDocument/2006/relationships/hyperlink" Target="http://www.arcbruxelles.be" TargetMode="External"/><Relationship Id="rId75" Type="http://schemas.openxmlformats.org/officeDocument/2006/relationships/hyperlink" Target="http://www.isfwaterloo.org" TargetMode="External"/><Relationship Id="rId74" Type="http://schemas.openxmlformats.org/officeDocument/2006/relationships/hyperlink" Target="http://www.eiverseau.be" TargetMode="External"/><Relationship Id="rId77" Type="http://schemas.openxmlformats.org/officeDocument/2006/relationships/hyperlink" Target="https://www.bais-aarhus.dk" TargetMode="External"/><Relationship Id="rId76" Type="http://schemas.openxmlformats.org/officeDocument/2006/relationships/hyperlink" Target="https://www.caalk.dk" TargetMode="External"/><Relationship Id="rId79" Type="http://schemas.openxmlformats.org/officeDocument/2006/relationships/hyperlink" Target="https://www.caarg.dk" TargetMode="External"/><Relationship Id="rId78" Type="http://schemas.openxmlformats.org/officeDocument/2006/relationships/hyperlink" Target="https://www.caaks.dk" TargetMode="External"/><Relationship Id="rId71" Type="http://schemas.openxmlformats.org/officeDocument/2006/relationships/hyperlink" Target="http://www.arcbruxelles.be" TargetMode="External"/><Relationship Id="rId70" Type="http://schemas.openxmlformats.org/officeDocument/2006/relationships/hyperlink" Target="http://www.arcbruxelles.be" TargetMode="External"/><Relationship Id="rId139" Type="http://schemas.openxmlformats.org/officeDocument/2006/relationships/hyperlink" Target="https://www.tuni.fi/normaalikoulu" TargetMode="External"/><Relationship Id="rId138" Type="http://schemas.openxmlformats.org/officeDocument/2006/relationships/hyperlink" Target="https://www.vantaa.fi/tikkurilanlukio" TargetMode="External"/><Relationship Id="rId137" Type="http://schemas.openxmlformats.org/officeDocument/2006/relationships/hyperlink" Target="https://www.rovaniemi.fi/lyseonpuistonlukio" TargetMode="External"/><Relationship Id="rId132" Type="http://schemas.openxmlformats.org/officeDocument/2006/relationships/hyperlink" Target="https://www.turunnormaalikoulu.fi" TargetMode="External"/><Relationship Id="rId131" Type="http://schemas.openxmlformats.org/officeDocument/2006/relationships/hyperlink" Target="https://www.utu.fi/normaalikoulu" TargetMode="External"/><Relationship Id="rId130" Type="http://schemas.openxmlformats.org/officeDocument/2006/relationships/hyperlink" Target="https://www.tampere.fi/tlyseo" TargetMode="External"/><Relationship Id="rId136" Type="http://schemas.openxmlformats.org/officeDocument/2006/relationships/hyperlink" Target="https://www.joensuu.fi/lyseonlukio" TargetMode="External"/><Relationship Id="rId135" Type="http://schemas.openxmlformats.org/officeDocument/2006/relationships/hyperlink" Target="https://www.lahti.fi/koulutus-ja-opiskelu/lahden-lukio-gaudia" TargetMode="External"/><Relationship Id="rId134" Type="http://schemas.openxmlformats.org/officeDocument/2006/relationships/hyperlink" Target="https://www.mattliden.fi" TargetMode="External"/><Relationship Id="rId133" Type="http://schemas.openxmlformats.org/officeDocument/2006/relationships/hyperlink" Target="https://www.katedralskolan.fi/" TargetMode="External"/><Relationship Id="rId62" Type="http://schemas.openxmlformats.org/officeDocument/2006/relationships/hyperlink" Target="http://www.isfwaterloo.org" TargetMode="External"/><Relationship Id="rId61" Type="http://schemas.openxmlformats.org/officeDocument/2006/relationships/hyperlink" Target="http://www.isfwaterloo.org" TargetMode="External"/><Relationship Id="rId64" Type="http://schemas.openxmlformats.org/officeDocument/2006/relationships/hyperlink" Target="http://www.abdijschool.be" TargetMode="External"/><Relationship Id="rId63" Type="http://schemas.openxmlformats.org/officeDocument/2006/relationships/hyperlink" Target="http://www.isfwaterloo.org" TargetMode="External"/><Relationship Id="rId66" Type="http://schemas.openxmlformats.org/officeDocument/2006/relationships/hyperlink" Target="http://www.abdijschool.be" TargetMode="External"/><Relationship Id="rId172" Type="http://schemas.openxmlformats.org/officeDocument/2006/relationships/hyperlink" Target="https://nelson-mandela.paysdelaloire.e-lyco.fr" TargetMode="External"/><Relationship Id="rId65" Type="http://schemas.openxmlformats.org/officeDocument/2006/relationships/hyperlink" Target="http://www.abdijschool.be" TargetMode="External"/><Relationship Id="rId171" Type="http://schemas.openxmlformats.org/officeDocument/2006/relationships/hyperlink" Target="https://www.saintvincent-rennes.org" TargetMode="External"/><Relationship Id="rId68" Type="http://schemas.openxmlformats.org/officeDocument/2006/relationships/hyperlink" Target="http://www.ccm.be" TargetMode="External"/><Relationship Id="rId170" Type="http://schemas.openxmlformats.org/officeDocument/2006/relationships/hyperlink" Target="https://isobordeaux.org" TargetMode="External"/><Relationship Id="rId67" Type="http://schemas.openxmlformats.org/officeDocument/2006/relationships/hyperlink" Target="http://www.ccm.be" TargetMode="External"/><Relationship Id="rId60" Type="http://schemas.openxmlformats.org/officeDocument/2006/relationships/hyperlink" Target="http://www.eiverseau.be" TargetMode="External"/><Relationship Id="rId165" Type="http://schemas.openxmlformats.org/officeDocument/2006/relationships/hyperlink" Target="https://ndioparis.com" TargetMode="External"/><Relationship Id="rId69" Type="http://schemas.openxmlformats.org/officeDocument/2006/relationships/hyperlink" Target="http://www.ccm.be" TargetMode="External"/><Relationship Id="rId164" Type="http://schemas.openxmlformats.org/officeDocument/2006/relationships/hyperlink" Target="https://www.marymount.fr" TargetMode="External"/><Relationship Id="rId163" Type="http://schemas.openxmlformats.org/officeDocument/2006/relationships/hyperlink" Target="https://www.ermitage.fr" TargetMode="External"/><Relationship Id="rId162" Type="http://schemas.openxmlformats.org/officeDocument/2006/relationships/hyperlink" Target="https://www.britishschool.fr" TargetMode="External"/><Relationship Id="rId169" Type="http://schemas.openxmlformats.org/officeDocument/2006/relationships/hyperlink" Target="https://lyc-balzac.ac-paris.fr" TargetMode="External"/><Relationship Id="rId168" Type="http://schemas.openxmlformats.org/officeDocument/2006/relationships/hyperlink" Target="https://lyc-camille-see.ac-paris.fr" TargetMode="External"/><Relationship Id="rId167" Type="http://schemas.openxmlformats.org/officeDocument/2006/relationships/hyperlink" Target="https://www.sectioninternationale.org" TargetMode="External"/><Relationship Id="rId166" Type="http://schemas.openxmlformats.org/officeDocument/2006/relationships/hyperlink" Target="https://www.ecolejeanninemanuel.org" TargetMode="External"/><Relationship Id="rId51" Type="http://schemas.openxmlformats.org/officeDocument/2006/relationships/hyperlink" Target="http://www.lyceefrancais.be" TargetMode="External"/><Relationship Id="rId50" Type="http://schemas.openxmlformats.org/officeDocument/2006/relationships/hyperlink" Target="http://www.lyceefrancais.be" TargetMode="External"/><Relationship Id="rId53" Type="http://schemas.openxmlformats.org/officeDocument/2006/relationships/hyperlink" Target="http://www.sint-lodewijkscollege.be" TargetMode="External"/><Relationship Id="rId52" Type="http://schemas.openxmlformats.org/officeDocument/2006/relationships/hyperlink" Target="http://www.sint-lodewijkscollege.be" TargetMode="External"/><Relationship Id="rId55" Type="http://schemas.openxmlformats.org/officeDocument/2006/relationships/hyperlink" Target="http://www.sint-barbara.be" TargetMode="External"/><Relationship Id="rId161" Type="http://schemas.openxmlformats.org/officeDocument/2006/relationships/hyperlink" Target="https://www.isparis.edu" TargetMode="External"/><Relationship Id="rId54" Type="http://schemas.openxmlformats.org/officeDocument/2006/relationships/hyperlink" Target="http://www.sint-lodewijkscollege.be" TargetMode="External"/><Relationship Id="rId160" Type="http://schemas.openxmlformats.org/officeDocument/2006/relationships/hyperlink" Target="https://www.asparis.org" TargetMode="External"/><Relationship Id="rId57" Type="http://schemas.openxmlformats.org/officeDocument/2006/relationships/hyperlink" Target="http://www.sint-barbara.be" TargetMode="External"/><Relationship Id="rId56" Type="http://schemas.openxmlformats.org/officeDocument/2006/relationships/hyperlink" Target="http://www.sint-barbara.be" TargetMode="External"/><Relationship Id="rId159" Type="http://schemas.openxmlformats.org/officeDocument/2006/relationships/hyperlink" Target="https://www.eibparis.com/en/victor-hugo-school" TargetMode="External"/><Relationship Id="rId59" Type="http://schemas.openxmlformats.org/officeDocument/2006/relationships/hyperlink" Target="http://www.eiverseau.be" TargetMode="External"/><Relationship Id="rId154" Type="http://schemas.openxmlformats.org/officeDocument/2006/relationships/hyperlink" Target="https://csi-lyon.fr" TargetMode="External"/><Relationship Id="rId58" Type="http://schemas.openxmlformats.org/officeDocument/2006/relationships/hyperlink" Target="http://www.eiverseau.be" TargetMode="External"/><Relationship Id="rId153" Type="http://schemas.openxmlformats.org/officeDocument/2006/relationships/hyperlink" Target="https://www.lycee-pontonniers.fr" TargetMode="External"/><Relationship Id="rId152" Type="http://schemas.openxmlformats.org/officeDocument/2006/relationships/hyperlink" Target="https://lyceeinternationaldestparisien.fr" TargetMode="External"/><Relationship Id="rId151" Type="http://schemas.openxmlformats.org/officeDocument/2006/relationships/hyperlink" Target="https://lyceefrancois1.net" TargetMode="External"/><Relationship Id="rId158" Type="http://schemas.openxmlformats.org/officeDocument/2006/relationships/hyperlink" Target="https://civfrance.fr" TargetMode="External"/><Relationship Id="rId157" Type="http://schemas.openxmlformats.org/officeDocument/2006/relationships/hyperlink" Target="https://lyc-aubrac-courbevoie.ac-versailles.fr" TargetMode="External"/><Relationship Id="rId156" Type="http://schemas.openxmlformats.org/officeDocument/2006/relationships/hyperlink" Target="https://www.lycee-international.ac-versailles.fr" TargetMode="External"/><Relationship Id="rId155" Type="http://schemas.openxmlformats.org/officeDocument/2006/relationships/hyperlink" Target="https://montebello.enthdf.fr" TargetMode="External"/><Relationship Id="rId107" Type="http://schemas.openxmlformats.org/officeDocument/2006/relationships/hyperlink" Target="https://www.glasir.fo/" TargetMode="External"/><Relationship Id="rId106" Type="http://schemas.openxmlformats.org/officeDocument/2006/relationships/hyperlink" Target="https://www.cviborgkatedralskole.dk" TargetMode="External"/><Relationship Id="rId105" Type="http://schemas.openxmlformats.org/officeDocument/2006/relationships/hyperlink" Target="https://www.cvtg.dk" TargetMode="External"/><Relationship Id="rId104" Type="http://schemas.openxmlformats.org/officeDocument/2006/relationships/hyperlink" Target="https://www.cstruer-statsgymnasium.dk" TargetMode="External"/><Relationship Id="rId109" Type="http://schemas.openxmlformats.org/officeDocument/2006/relationships/hyperlink" Target="https://www.midnam.fo/" TargetMode="External"/><Relationship Id="rId108" Type="http://schemas.openxmlformats.org/officeDocument/2006/relationships/hyperlink" Target="http://sanktpetriskole.dk" TargetMode="External"/><Relationship Id="rId220" Type="http://schemas.openxmlformats.org/officeDocument/2006/relationships/hyperlink" Target="http://www.rosey.ch" TargetMode="External"/><Relationship Id="rId103" Type="http://schemas.openxmlformats.org/officeDocument/2006/relationships/hyperlink" Target="https://www.cstenhus-gym.dk" TargetMode="External"/><Relationship Id="rId102" Type="http://schemas.openxmlformats.org/officeDocument/2006/relationships/hyperlink" Target="https://www.bsanktpetriskole.dk" TargetMode="External"/><Relationship Id="rId101" Type="http://schemas.openxmlformats.org/officeDocument/2006/relationships/hyperlink" Target="https://www.brygaards.com" TargetMode="External"/><Relationship Id="rId222" Type="http://schemas.openxmlformats.org/officeDocument/2006/relationships/drawing" Target="../drawings/drawing1.xml"/><Relationship Id="rId100" Type="http://schemas.openxmlformats.org/officeDocument/2006/relationships/hyperlink" Target="https://www.croedkilde-gym.dk" TargetMode="External"/><Relationship Id="rId221" Type="http://schemas.openxmlformats.org/officeDocument/2006/relationships/hyperlink" Target="http://www.uwcatlantic.org" TargetMode="External"/><Relationship Id="rId217" Type="http://schemas.openxmlformats.org/officeDocument/2006/relationships/hyperlink" Target="http://www.superiori.educazione.sm" TargetMode="External"/><Relationship Id="rId216" Type="http://schemas.openxmlformats.org/officeDocument/2006/relationships/hyperlink" Target="http://www.stjulians.com" TargetMode="External"/><Relationship Id="rId215" Type="http://schemas.openxmlformats.org/officeDocument/2006/relationships/hyperlink" Target="https://www.linkedin.com/in/simon-i-golombek-571791122/" TargetMode="External"/><Relationship Id="rId214" Type="http://schemas.openxmlformats.org/officeDocument/2006/relationships/hyperlink" Target="https://hersleb.vgs.no/" TargetMode="External"/><Relationship Id="rId219" Type="http://schemas.openxmlformats.org/officeDocument/2006/relationships/hyperlink" Target="http://stockholmis.se" TargetMode="External"/><Relationship Id="rId218" Type="http://schemas.openxmlformats.org/officeDocument/2006/relationships/hyperlink" Target="http://www.asmadrid.org" TargetMode="External"/><Relationship Id="rId213" Type="http://schemas.openxmlformats.org/officeDocument/2006/relationships/hyperlink" Target="https://sandvika.vgs.no/" TargetMode="External"/><Relationship Id="rId212" Type="http://schemas.openxmlformats.org/officeDocument/2006/relationships/hyperlink" Target="https://alesund.vgs.no/" TargetMode="External"/><Relationship Id="rId211" Type="http://schemas.openxmlformats.org/officeDocument/2006/relationships/hyperlink" Target="https://sandnesvgs.no/" TargetMode="External"/><Relationship Id="rId210" Type="http://schemas.openxmlformats.org/officeDocument/2006/relationships/hyperlink" Target="https://hartvig-nissen.vgs.no/" TargetMode="External"/><Relationship Id="rId129" Type="http://schemas.openxmlformats.org/officeDocument/2006/relationships/hyperlink" Target="https://www.jyvaskyla.fi/lyseonlukio" TargetMode="External"/><Relationship Id="rId128" Type="http://schemas.openxmlformats.org/officeDocument/2006/relationships/hyperlink" Target="https://www.hsyk.fi" TargetMode="External"/><Relationship Id="rId127" Type="http://schemas.openxmlformats.org/officeDocument/2006/relationships/hyperlink" Target="https://lyseo.kuopio.fi/" TargetMode="External"/><Relationship Id="rId126" Type="http://schemas.openxmlformats.org/officeDocument/2006/relationships/hyperlink" Target="https://www.lycee.fi" TargetMode="External"/><Relationship Id="rId121" Type="http://schemas.openxmlformats.org/officeDocument/2006/relationships/hyperlink" Target="https://www.larkan.fi/" TargetMode="External"/><Relationship Id="rId120" Type="http://schemas.openxmlformats.org/officeDocument/2006/relationships/hyperlink" Target="https://www.mattliden.fi" TargetMode="External"/><Relationship Id="rId125" Type="http://schemas.openxmlformats.org/officeDocument/2006/relationships/hyperlink" Target="https://www.tampere.fi/tlyseo" TargetMode="External"/><Relationship Id="rId124" Type="http://schemas.openxmlformats.org/officeDocument/2006/relationships/hyperlink" Target="https://www.ouka.fi/ois" TargetMode="External"/><Relationship Id="rId123" Type="http://schemas.openxmlformats.org/officeDocument/2006/relationships/hyperlink" Target="https://www.ouka.fi/oulunlyseonlukio" TargetMode="External"/><Relationship Id="rId122" Type="http://schemas.openxmlformats.org/officeDocument/2006/relationships/hyperlink" Target="https://www.dsh.fi" TargetMode="External"/><Relationship Id="rId95" Type="http://schemas.openxmlformats.org/officeDocument/2006/relationships/hyperlink" Target="https://www.ckoege-gymnasium.dk" TargetMode="External"/><Relationship Id="rId94" Type="http://schemas.openxmlformats.org/officeDocument/2006/relationships/hyperlink" Target="https://www.ckolding-gym.dk" TargetMode="External"/><Relationship Id="rId97" Type="http://schemas.openxmlformats.org/officeDocument/2006/relationships/hyperlink" Target="https://www.bnis-edu.dk" TargetMode="External"/><Relationship Id="rId96" Type="http://schemas.openxmlformats.org/officeDocument/2006/relationships/hyperlink" Target="https://www.clangkaer.dk" TargetMode="External"/><Relationship Id="rId99" Type="http://schemas.openxmlformats.org/officeDocument/2006/relationships/hyperlink" Target="https://www.befb.dk" TargetMode="External"/><Relationship Id="rId98" Type="http://schemas.openxmlformats.org/officeDocument/2006/relationships/hyperlink" Target="https://www.cnyborg-gym.dk" TargetMode="External"/><Relationship Id="rId91" Type="http://schemas.openxmlformats.org/officeDocument/2006/relationships/hyperlink" Target="https://www.cikast-brande-gym.dk" TargetMode="External"/><Relationship Id="rId90" Type="http://schemas.openxmlformats.org/officeDocument/2006/relationships/hyperlink" Target="https://www.aherlufsholm.dk" TargetMode="External"/><Relationship Id="rId93" Type="http://schemas.openxmlformats.org/officeDocument/2006/relationships/hyperlink" Target="https://www.bishellerup.dk" TargetMode="External"/><Relationship Id="rId92" Type="http://schemas.openxmlformats.org/officeDocument/2006/relationships/hyperlink" Target="https://www.cingrid-jespersens-gym.dk" TargetMode="External"/><Relationship Id="rId118" Type="http://schemas.openxmlformats.org/officeDocument/2006/relationships/hyperlink" Target="https://www.ressu.fi" TargetMode="External"/><Relationship Id="rId117" Type="http://schemas.openxmlformats.org/officeDocument/2006/relationships/hyperlink" Target="https://www.etela-tapiolanlukio.fi" TargetMode="External"/><Relationship Id="rId116" Type="http://schemas.openxmlformats.org/officeDocument/2006/relationships/hyperlink" Target="https://www.esh.fi" TargetMode="External"/><Relationship Id="rId115" Type="http://schemas.openxmlformats.org/officeDocument/2006/relationships/hyperlink" Target="https://www.syk.fi" TargetMode="External"/><Relationship Id="rId119" Type="http://schemas.openxmlformats.org/officeDocument/2006/relationships/hyperlink" Target="https://www.sam.fi/" TargetMode="External"/><Relationship Id="rId110" Type="http://schemas.openxmlformats.org/officeDocument/2006/relationships/hyperlink" Target="https://www.midnam.fo/" TargetMode="External"/><Relationship Id="rId114" Type="http://schemas.openxmlformats.org/officeDocument/2006/relationships/hyperlink" Target="https://ishelsinki.fi/" TargetMode="External"/><Relationship Id="rId113" Type="http://schemas.openxmlformats.org/officeDocument/2006/relationships/hyperlink" Target="https://www.hel.fi/ressunlukio" TargetMode="External"/><Relationship Id="rId112" Type="http://schemas.openxmlformats.org/officeDocument/2006/relationships/hyperlink" Target="http://www.ishelsinki.fi" TargetMode="External"/><Relationship Id="rId111" Type="http://schemas.openxmlformats.org/officeDocument/2006/relationships/hyperlink" Target="https://www.tsk.fo/" TargetMode="External"/><Relationship Id="rId206" Type="http://schemas.openxmlformats.org/officeDocument/2006/relationships/hyperlink" Target="http://www.ismonaco.org" TargetMode="External"/><Relationship Id="rId205" Type="http://schemas.openxmlformats.org/officeDocument/2006/relationships/hyperlink" Target="http://www.verdala.org" TargetMode="External"/><Relationship Id="rId204" Type="http://schemas.openxmlformats.org/officeDocument/2006/relationships/hyperlink" Target="http://www.islux.lu" TargetMode="External"/><Relationship Id="rId203" Type="http://schemas.openxmlformats.org/officeDocument/2006/relationships/hyperlink" Target="http://www.lg.li" TargetMode="External"/><Relationship Id="rId209" Type="http://schemas.openxmlformats.org/officeDocument/2006/relationships/hyperlink" Target="https://edvardmunch.vgs.no/" TargetMode="External"/><Relationship Id="rId208" Type="http://schemas.openxmlformats.org/officeDocument/2006/relationships/hyperlink" Target="https://oslointernationalschool.no/" TargetMode="External"/><Relationship Id="rId207" Type="http://schemas.openxmlformats.org/officeDocument/2006/relationships/hyperlink" Target="http://www.isa.nl" TargetMode="External"/><Relationship Id="rId202" Type="http://schemas.openxmlformats.org/officeDocument/2006/relationships/hyperlink" Target="http://www.victoriacollege.je" TargetMode="External"/><Relationship Id="rId201" Type="http://schemas.openxmlformats.org/officeDocument/2006/relationships/hyperlink" Target="http://www.uwcad.it" TargetMode="External"/><Relationship Id="rId200" Type="http://schemas.openxmlformats.org/officeDocument/2006/relationships/hyperlink" Target="http://www.sac.i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atedralskolen.d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8LWBbDsvIrtXvEnQZGIss6qsXtABy9L_y0P6NJu3wmg/edit?gid=0" TargetMode="External"/><Relationship Id="rId21" Type="http://schemas.openxmlformats.org/officeDocument/2006/relationships/drawing" Target="../drawings/drawing7.xml"/><Relationship Id="rId11" Type="http://schemas.openxmlformats.org/officeDocument/2006/relationships/hyperlink" Target="https://docs.google.com/spreadsheets/d/15FQR6N3exnnQYJatunaK8vJAvpHb_agjFogzwfkqTV8/edit?gid=0" TargetMode="External"/><Relationship Id="rId10" Type="http://schemas.openxmlformats.org/officeDocument/2006/relationships/hyperlink" Target="https://docs.google.com/spreadsheets/d/15FQR6N3exnnQYJatunaK8vJAvpHb_agjFogzwfkqTV8/edit?gid=0" TargetMode="External"/><Relationship Id="rId13" Type="http://schemas.openxmlformats.org/officeDocument/2006/relationships/hyperlink" Target="https://docs.google.com/spreadsheets/d/14FelapMI86G8N7_OL60lpjzvCtCdsE8DyzfVhTGEfaY/edit?gid=0" TargetMode="External"/><Relationship Id="rId12" Type="http://schemas.openxmlformats.org/officeDocument/2006/relationships/hyperlink" Target="https://docs.google.com/spreadsheets/d/1SXE00bBzaV93Wu4RRTRcTb1t6xeheUSrPTnL8tsUqLo/edit?gid=0" TargetMode="External"/><Relationship Id="rId15" Type="http://schemas.openxmlformats.org/officeDocument/2006/relationships/hyperlink" Target="https://docs.google.com/spreadsheets/d/14FelapMI86G8N7_OL60lpjzvCtCdsE8DyzfVhTGEfaY/edit?gid=0" TargetMode="External"/><Relationship Id="rId14" Type="http://schemas.openxmlformats.org/officeDocument/2006/relationships/hyperlink" Target="https://docs.google.com/spreadsheets/d/14FelapMI86G8N7_OL60lpjzvCtCdsE8DyzfVhTGEfaY/edit?gid=0" TargetMode="External"/><Relationship Id="rId17" Type="http://schemas.openxmlformats.org/officeDocument/2006/relationships/hyperlink" Target="https://docs.google.com/spreadsheets/d/1wPF7JhVrepQqy0uqJ_wlNCKydfWMSQoiJIItBwfKWRM/edit?gid=0" TargetMode="External"/><Relationship Id="rId16" Type="http://schemas.openxmlformats.org/officeDocument/2006/relationships/hyperlink" Target="https://docs.google.com/spreadsheets/d/18LWBbDsvIrtXvEnQZGIss6qsXtABy9L_y0P6NJu3wmg/edit?gid=0" TargetMode="External"/><Relationship Id="rId19" Type="http://schemas.openxmlformats.org/officeDocument/2006/relationships/hyperlink" Target="https://docs.google.com/spreadsheets/d/1hGEDXkJiY6YNZ4RmeKl-3qjl8ArO2dyQDlkBYV7Hyko/edit?gid=0" TargetMode="External"/><Relationship Id="rId18" Type="http://schemas.openxmlformats.org/officeDocument/2006/relationships/hyperlink" Target="https://docs.google.com/spreadsheets/d/1hGEDXkJiY6YNZ4RmeKl-3qjl8ArO2dyQDlkBYV7Hyko/edit?gid=0" TargetMode="External"/><Relationship Id="rId1" Type="http://schemas.openxmlformats.org/officeDocument/2006/relationships/hyperlink" Target="https://docs.google.com/spreadsheets/d/18wn4lXXBR1oJlPbPvrI8XG1AxS15itmqgcC837GjfC8/edit?gid=0" TargetMode="External"/><Relationship Id="rId2" Type="http://schemas.openxmlformats.org/officeDocument/2006/relationships/hyperlink" Target="https://docs.google.com/spreadsheets/d/18Bq8RkUPD3rrPq_kl920ylpv6x3JL4bjtSUM_p1fveE/edit?gid=0" TargetMode="External"/><Relationship Id="rId3" Type="http://schemas.openxmlformats.org/officeDocument/2006/relationships/hyperlink" Target="https://docs.google.com/spreadsheets/d/1r00NYWOAWm_lEKRl7BPyv0hpjpc2caLjDD4E3PKuhBc/edit?gid=0" TargetMode="External"/><Relationship Id="rId4" Type="http://schemas.openxmlformats.org/officeDocument/2006/relationships/hyperlink" Target="http://www.isa.nl/" TargetMode="External"/><Relationship Id="rId9" Type="http://schemas.openxmlformats.org/officeDocument/2006/relationships/hyperlink" Target="https://docs.google.com/spreadsheets/d/15FQR6N3exnnQYJatunaK8vJAvpHb_agjFogzwfkqTV8/edit?gid=0" TargetMode="External"/><Relationship Id="rId5" Type="http://schemas.openxmlformats.org/officeDocument/2006/relationships/hyperlink" Target="mailto:alena@minerva.edu" TargetMode="External"/><Relationship Id="rId6" Type="http://schemas.openxmlformats.org/officeDocument/2006/relationships/hyperlink" Target="https://docs.google.com/spreadsheets/d/1ggkZi93igfM3AabQELYT4Rp511mQpW6p1EMQLUh4EFw/edit?gid=0" TargetMode="External"/><Relationship Id="rId7" Type="http://schemas.openxmlformats.org/officeDocument/2006/relationships/hyperlink" Target="https://docs.google.com/spreadsheets/d/1TfISJ0JHOo11PMuYt4yl8s0mT8W5ZlRc4uiWOA2NZC4/edit?gid=0" TargetMode="External"/><Relationship Id="rId8" Type="http://schemas.openxmlformats.org/officeDocument/2006/relationships/hyperlink" Target="https://docs.google.com/spreadsheets/d/15FQR6N3exnnQYJatunaK8vJAvpHb_agjFogzwfkqTV8/edit?gid=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ucas.com/events" TargetMode="External"/><Relationship Id="rId42" Type="http://schemas.openxmlformats.org/officeDocument/2006/relationships/hyperlink" Target="https://www.ucas.com/events" TargetMode="External"/><Relationship Id="rId41" Type="http://schemas.openxmlformats.org/officeDocument/2006/relationships/hyperlink" Target="https://qualifica.exponor.pt/" TargetMode="External"/><Relationship Id="rId44" Type="http://schemas.openxmlformats.org/officeDocument/2006/relationships/hyperlink" Target="https://www.ucas.com/events" TargetMode="External"/><Relationship Id="rId43" Type="http://schemas.openxmlformats.org/officeDocument/2006/relationships/hyperlink" Target="https://www.ucas.com/events" TargetMode="External"/><Relationship Id="rId46" Type="http://schemas.openxmlformats.org/officeDocument/2006/relationships/hyperlink" Target="https://www.ucas.com/events" TargetMode="External"/><Relationship Id="rId45" Type="http://schemas.openxmlformats.org/officeDocument/2006/relationships/hyperlink" Target="https://www.ucas.com/events" TargetMode="External"/><Relationship Id="rId48" Type="http://schemas.openxmlformats.org/officeDocument/2006/relationships/hyperlink" Target="https://www.ucas.com/events" TargetMode="External"/><Relationship Id="rId47" Type="http://schemas.openxmlformats.org/officeDocument/2006/relationships/hyperlink" Target="https://www.ucas.com/events" TargetMode="External"/><Relationship Id="rId49" Type="http://schemas.openxmlformats.org/officeDocument/2006/relationships/hyperlink" Target="https://www.ucas.com/events" TargetMode="External"/><Relationship Id="rId31" Type="http://schemas.openxmlformats.org/officeDocument/2006/relationships/hyperlink" Target="https://www.ifema.es/aula" TargetMode="External"/><Relationship Id="rId30" Type="http://schemas.openxmlformats.org/officeDocument/2006/relationships/hyperlink" Target="https://collegedayfairs.org/cds-visitors" TargetMode="External"/><Relationship Id="rId33" Type="http://schemas.openxmlformats.org/officeDocument/2006/relationships/hyperlink" Target="https://www.ensenyament.com/" TargetMode="External"/><Relationship Id="rId32" Type="http://schemas.openxmlformats.org/officeDocument/2006/relationships/hyperlink" Target="https://www.ucas.com/events" TargetMode="External"/><Relationship Id="rId35" Type="http://schemas.openxmlformats.org/officeDocument/2006/relationships/hyperlink" Target="https://salons.siep.be/" TargetMode="External"/><Relationship Id="rId34" Type="http://schemas.openxmlformats.org/officeDocument/2006/relationships/hyperlink" Target="https://www.ucas.com/events" TargetMode="External"/><Relationship Id="rId37" Type="http://schemas.openxmlformats.org/officeDocument/2006/relationships/hyperlink" Target="https://salons.siep.be/" TargetMode="External"/><Relationship Id="rId36" Type="http://schemas.openxmlformats.org/officeDocument/2006/relationships/hyperlink" Target="https://www.ucas.com/events" TargetMode="External"/><Relationship Id="rId39" Type="http://schemas.openxmlformats.org/officeDocument/2006/relationships/hyperlink" Target="https://www.ucas.com/events" TargetMode="External"/><Relationship Id="rId38" Type="http://schemas.openxmlformats.org/officeDocument/2006/relationships/hyperlink" Target="https://www.gov.je/" TargetMode="External"/><Relationship Id="rId20" Type="http://schemas.openxmlformats.org/officeDocument/2006/relationships/hyperlink" Target="https://salons.siep.be/" TargetMode="External"/><Relationship Id="rId22" Type="http://schemas.openxmlformats.org/officeDocument/2006/relationships/hyperlink" Target="https://studia.messukeskus.com/" TargetMode="External"/><Relationship Id="rId21" Type="http://schemas.openxmlformats.org/officeDocument/2006/relationships/hyperlink" Target="https://www.unitour.es/" TargetMode="External"/><Relationship Id="rId24" Type="http://schemas.openxmlformats.org/officeDocument/2006/relationships/hyperlink" Target="https://www.tautdanning.no/" TargetMode="External"/><Relationship Id="rId23" Type="http://schemas.openxmlformats.org/officeDocument/2006/relationships/hyperlink" Target="https://salons.siep.be/" TargetMode="External"/><Relationship Id="rId26" Type="http://schemas.openxmlformats.org/officeDocument/2006/relationships/hyperlink" Target="https://www.ucas.com/events" TargetMode="External"/><Relationship Id="rId25" Type="http://schemas.openxmlformats.org/officeDocument/2006/relationships/hyperlink" Target="https://u-days.au.dk/" TargetMode="External"/><Relationship Id="rId28" Type="http://schemas.openxmlformats.org/officeDocument/2006/relationships/hyperlink" Target="https://collegedayfairs.org/cds-visitors" TargetMode="External"/><Relationship Id="rId27" Type="http://schemas.openxmlformats.org/officeDocument/2006/relationships/hyperlink" Target="https://www.ucas.com/events" TargetMode="External"/><Relationship Id="rId29" Type="http://schemas.openxmlformats.org/officeDocument/2006/relationships/hyperlink" Target="https://collegedayfairs.org/cds-visitors" TargetMode="External"/><Relationship Id="rId11" Type="http://schemas.openxmlformats.org/officeDocument/2006/relationships/hyperlink" Target="https://www.fpp.world/" TargetMode="External"/><Relationship Id="rId10" Type="http://schemas.openxmlformats.org/officeDocument/2006/relationships/hyperlink" Target="https://www.cois.org/" TargetMode="External"/><Relationship Id="rId13" Type="http://schemas.openxmlformats.org/officeDocument/2006/relationships/hyperlink" Target="https://www.zebi.ch/" TargetMode="External"/><Relationship Id="rId12" Type="http://schemas.openxmlformats.org/officeDocument/2006/relationships/hyperlink" Target="https://meng.gouvernement.lu/" TargetMode="External"/><Relationship Id="rId15" Type="http://schemas.openxmlformats.org/officeDocument/2006/relationships/hyperlink" Target="https://www.bachelor-and-more.de/" TargetMode="External"/><Relationship Id="rId14" Type="http://schemas.openxmlformats.org/officeDocument/2006/relationships/hyperlink" Target="https://www.studiekeuzebeurs.nl/" TargetMode="External"/><Relationship Id="rId17" Type="http://schemas.openxmlformats.org/officeDocument/2006/relationships/hyperlink" Target="https://salons.siep.be/" TargetMode="External"/><Relationship Id="rId16" Type="http://schemas.openxmlformats.org/officeDocument/2006/relationships/hyperlink" Target="https://www.cois.org/" TargetMode="External"/><Relationship Id="rId19" Type="http://schemas.openxmlformats.org/officeDocument/2006/relationships/hyperlink" Target="https://www.guernseycareers.gg/" TargetMode="External"/><Relationship Id="rId18" Type="http://schemas.openxmlformats.org/officeDocument/2006/relationships/hyperlink" Target="https://www.metiersformation.ch/" TargetMode="External"/><Relationship Id="rId1" Type="http://schemas.openxmlformats.org/officeDocument/2006/relationships/hyperlink" Target="https://www.eaie.org/" TargetMode="External"/><Relationship Id="rId2" Type="http://schemas.openxmlformats.org/officeDocument/2006/relationships/hyperlink" Target="https://higheroptions.irishtimes.com/home?language=en" TargetMode="External"/><Relationship Id="rId3" Type="http://schemas.openxmlformats.org/officeDocument/2006/relationships/hyperlink" Target="https://www.fulbright.org.uk/" TargetMode="External"/><Relationship Id="rId4" Type="http://schemas.openxmlformats.org/officeDocument/2006/relationships/hyperlink" Target="https://digital.next-step.li/" TargetMode="External"/><Relationship Id="rId9" Type="http://schemas.openxmlformats.org/officeDocument/2006/relationships/hyperlink" Target="https://www.onderwijsbeurs.nl/" TargetMode="External"/><Relationship Id="rId5" Type="http://schemas.openxmlformats.org/officeDocument/2006/relationships/hyperlink" Target="https://www.cois.org/" TargetMode="External"/><Relationship Id="rId6" Type="http://schemas.openxmlformats.org/officeDocument/2006/relationships/hyperlink" Target="https://www.cois.org/" TargetMode="External"/><Relationship Id="rId7" Type="http://schemas.openxmlformats.org/officeDocument/2006/relationships/hyperlink" Target="https://www.cois.org/" TargetMode="External"/><Relationship Id="rId8" Type="http://schemas.openxmlformats.org/officeDocument/2006/relationships/hyperlink" Target="https://srtfairs.com/" TargetMode="External"/><Relationship Id="rId51" Type="http://schemas.openxmlformats.org/officeDocument/2006/relationships/hyperlink" Target="https://www.ucas.com/events" TargetMode="External"/><Relationship Id="rId50" Type="http://schemas.openxmlformats.org/officeDocument/2006/relationships/hyperlink" Target="https://www.ucas.com/events" TargetMode="External"/><Relationship Id="rId53" Type="http://schemas.openxmlformats.org/officeDocument/2006/relationships/hyperlink" Target="https://www.ucas.com/events" TargetMode="External"/><Relationship Id="rId52" Type="http://schemas.openxmlformats.org/officeDocument/2006/relationships/hyperlink" Target="https://www.ucas.com/events" TargetMode="External"/><Relationship Id="rId55" Type="http://schemas.openxmlformats.org/officeDocument/2006/relationships/hyperlink" Target="https://www.ucas.com/events" TargetMode="External"/><Relationship Id="rId54" Type="http://schemas.openxmlformats.org/officeDocument/2006/relationships/hyperlink" Target="https://www.ucas.com/events" TargetMode="External"/><Relationship Id="rId57" Type="http://schemas.openxmlformats.org/officeDocument/2006/relationships/drawing" Target="../drawings/drawing11.xml"/><Relationship Id="rId56" Type="http://schemas.openxmlformats.org/officeDocument/2006/relationships/hyperlink" Target="https://education.gov.mt/"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1" Type="http://schemas.openxmlformats.org/officeDocument/2006/relationships/hyperlink" Target="https://www.studyinspain.info/" TargetMode="External"/><Relationship Id="rId30" Type="http://schemas.openxmlformats.org/officeDocument/2006/relationships/hyperlink" Target="https://www.sepie.es/" TargetMode="External"/><Relationship Id="rId33" Type="http://schemas.openxmlformats.org/officeDocument/2006/relationships/hyperlink" Target="https://studyinsweden.se/" TargetMode="External"/><Relationship Id="rId32" Type="http://schemas.openxmlformats.org/officeDocument/2006/relationships/hyperlink" Target="https://www.uhr.se/en/" TargetMode="External"/><Relationship Id="rId35" Type="http://schemas.openxmlformats.org/officeDocument/2006/relationships/hyperlink" Target="https://www.movetia.ch/en" TargetMode="External"/><Relationship Id="rId34" Type="http://schemas.openxmlformats.org/officeDocument/2006/relationships/hyperlink" Target="https://www.swissuniversities.ch/en/" TargetMode="External"/><Relationship Id="rId37" Type="http://schemas.openxmlformats.org/officeDocument/2006/relationships/hyperlink" Target="https://www.ucas.com/" TargetMode="External"/><Relationship Id="rId36" Type="http://schemas.openxmlformats.org/officeDocument/2006/relationships/hyperlink" Target="https://www.britishcouncil.org/" TargetMode="External"/><Relationship Id="rId38" Type="http://schemas.openxmlformats.org/officeDocument/2006/relationships/drawing" Target="../drawings/drawing13.xml"/><Relationship Id="rId20" Type="http://schemas.openxmlformats.org/officeDocument/2006/relationships/hyperlink" Target="https://www.mur.gov.it/it" TargetMode="External"/><Relationship Id="rId22" Type="http://schemas.openxmlformats.org/officeDocument/2006/relationships/hyperlink" Target="https://www.anefore.lu/" TargetMode="External"/><Relationship Id="rId21" Type="http://schemas.openxmlformats.org/officeDocument/2006/relationships/hyperlink" Target="https://mesr.gouvernement.lu/en.html" TargetMode="External"/><Relationship Id="rId24" Type="http://schemas.openxmlformats.org/officeDocument/2006/relationships/hyperlink" Target="https://www.nuffic.nl/en" TargetMode="External"/><Relationship Id="rId23" Type="http://schemas.openxmlformats.org/officeDocument/2006/relationships/hyperlink" Target="https://education.gov.mt/" TargetMode="External"/><Relationship Id="rId26" Type="http://schemas.openxmlformats.org/officeDocument/2006/relationships/hyperlink" Target="https://hkdir.no/en/" TargetMode="External"/><Relationship Id="rId25" Type="http://schemas.openxmlformats.org/officeDocument/2006/relationships/hyperlink" Target="https://www.studyinholland.nl/" TargetMode="External"/><Relationship Id="rId28" Type="http://schemas.openxmlformats.org/officeDocument/2006/relationships/hyperlink" Target="https://www.dges.gov.pt/en" TargetMode="External"/><Relationship Id="rId27" Type="http://schemas.openxmlformats.org/officeDocument/2006/relationships/hyperlink" Target="https://www.studyinnorway.no/" TargetMode="External"/><Relationship Id="rId29" Type="http://schemas.openxmlformats.org/officeDocument/2006/relationships/hyperlink" Target="https://www.study-research.pt/" TargetMode="External"/><Relationship Id="rId11" Type="http://schemas.openxmlformats.org/officeDocument/2006/relationships/hyperlink" Target="https://www.letudiant.fr/" TargetMode="External"/><Relationship Id="rId10" Type="http://schemas.openxmlformats.org/officeDocument/2006/relationships/hyperlink" Target="https://www.campusfrance.org/en" TargetMode="External"/><Relationship Id="rId13" Type="http://schemas.openxmlformats.org/officeDocument/2006/relationships/hyperlink" Target="https://www.study-in-germany.de/en/" TargetMode="External"/><Relationship Id="rId12" Type="http://schemas.openxmlformats.org/officeDocument/2006/relationships/hyperlink" Target="https://www.daad.de/en/" TargetMode="External"/><Relationship Id="rId15" Type="http://schemas.openxmlformats.org/officeDocument/2006/relationships/hyperlink" Target="https://en.rannis.is/" TargetMode="External"/><Relationship Id="rId14" Type="http://schemas.openxmlformats.org/officeDocument/2006/relationships/hyperlink" Target="https://www.kmk.org/" TargetMode="External"/><Relationship Id="rId17" Type="http://schemas.openxmlformats.org/officeDocument/2006/relationships/hyperlink" Target="https://www.educationinireland.com/" TargetMode="External"/><Relationship Id="rId16" Type="http://schemas.openxmlformats.org/officeDocument/2006/relationships/hyperlink" Target="https://www.studyiniceland.is/" TargetMode="External"/><Relationship Id="rId19" Type="http://schemas.openxmlformats.org/officeDocument/2006/relationships/hyperlink" Target="https://www.uni-italia.net/" TargetMode="External"/><Relationship Id="rId18" Type="http://schemas.openxmlformats.org/officeDocument/2006/relationships/hyperlink" Target="https://hea.ie/" TargetMode="External"/><Relationship Id="rId1" Type="http://schemas.openxmlformats.org/officeDocument/2006/relationships/hyperlink" Target="https://oead.at/en/" TargetMode="External"/><Relationship Id="rId2" Type="http://schemas.openxmlformats.org/officeDocument/2006/relationships/hyperlink" Target="https://www.studyinaustria.at/" TargetMode="External"/><Relationship Id="rId3" Type="http://schemas.openxmlformats.org/officeDocument/2006/relationships/hyperlink" Target="https://www.aef-europe.be/" TargetMode="External"/><Relationship Id="rId4" Type="http://schemas.openxmlformats.org/officeDocument/2006/relationships/hyperlink" Target="https://www.epos-vlaanderen.be/" TargetMode="External"/><Relationship Id="rId9" Type="http://schemas.openxmlformats.org/officeDocument/2006/relationships/hyperlink" Target="https://www.studyinfinland.fi/" TargetMode="External"/><Relationship Id="rId5" Type="http://schemas.openxmlformats.org/officeDocument/2006/relationships/hyperlink" Target="https://www.studyinflanders.be/" TargetMode="External"/><Relationship Id="rId6" Type="http://schemas.openxmlformats.org/officeDocument/2006/relationships/hyperlink" Target="https://ufm.dk/en" TargetMode="External"/><Relationship Id="rId7" Type="http://schemas.openxmlformats.org/officeDocument/2006/relationships/hyperlink" Target="https://studyindenmark.dk/" TargetMode="External"/><Relationship Id="rId8" Type="http://schemas.openxmlformats.org/officeDocument/2006/relationships/hyperlink" Target="https://www.oph.fi/en"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c r="AC1" s="2"/>
      <c r="AD1" s="2"/>
    </row>
    <row r="2">
      <c r="A2" s="3" t="s">
        <v>27</v>
      </c>
      <c r="B2" s="3" t="s">
        <v>28</v>
      </c>
      <c r="C2" s="3" t="s">
        <v>29</v>
      </c>
      <c r="D2" s="3" t="s">
        <v>30</v>
      </c>
      <c r="E2" s="3" t="s">
        <v>31</v>
      </c>
      <c r="F2" s="3" t="s">
        <v>32</v>
      </c>
      <c r="G2" s="3" t="s">
        <v>33</v>
      </c>
      <c r="H2" s="4" t="s">
        <v>34</v>
      </c>
      <c r="I2" s="3" t="s">
        <v>35</v>
      </c>
      <c r="J2" s="3" t="s">
        <v>36</v>
      </c>
      <c r="K2" s="3" t="s">
        <v>37</v>
      </c>
      <c r="L2" s="3" t="s">
        <v>38</v>
      </c>
      <c r="M2" s="3" t="s">
        <v>39</v>
      </c>
      <c r="N2" s="3" t="s">
        <v>40</v>
      </c>
      <c r="O2" s="3" t="s">
        <v>41</v>
      </c>
      <c r="P2" s="3" t="s">
        <v>42</v>
      </c>
      <c r="Q2" s="3" t="s">
        <v>43</v>
      </c>
      <c r="R2" s="3" t="s">
        <v>44</v>
      </c>
      <c r="S2" s="3" t="s">
        <v>43</v>
      </c>
      <c r="T2" s="3" t="s">
        <v>45</v>
      </c>
      <c r="U2" s="3" t="s">
        <v>43</v>
      </c>
      <c r="V2" s="5" t="s">
        <v>43</v>
      </c>
      <c r="W2" s="3"/>
      <c r="X2" s="3"/>
      <c r="Y2" s="6"/>
      <c r="Z2" s="3"/>
      <c r="AA2" s="3"/>
      <c r="AB2" s="3"/>
      <c r="AC2" s="3"/>
      <c r="AD2" s="3"/>
    </row>
    <row r="3">
      <c r="A3" s="7" t="s">
        <v>46</v>
      </c>
      <c r="B3" s="7" t="s">
        <v>47</v>
      </c>
      <c r="C3" s="7" t="s">
        <v>48</v>
      </c>
      <c r="D3" s="7" t="s">
        <v>49</v>
      </c>
      <c r="E3" s="7" t="s">
        <v>43</v>
      </c>
      <c r="F3" s="7" t="s">
        <v>43</v>
      </c>
      <c r="G3" s="7" t="s">
        <v>43</v>
      </c>
      <c r="H3" s="7" t="s">
        <v>43</v>
      </c>
      <c r="I3" s="7" t="s">
        <v>43</v>
      </c>
      <c r="J3" s="7" t="s">
        <v>43</v>
      </c>
      <c r="K3" s="7" t="s">
        <v>50</v>
      </c>
      <c r="L3" s="7" t="s">
        <v>43</v>
      </c>
      <c r="M3" s="8">
        <v>0.0</v>
      </c>
      <c r="N3" s="7" t="s">
        <v>51</v>
      </c>
      <c r="O3" s="7" t="s">
        <v>43</v>
      </c>
      <c r="P3" s="7" t="s">
        <v>43</v>
      </c>
      <c r="Q3" s="7" t="s">
        <v>43</v>
      </c>
      <c r="R3" s="7" t="s">
        <v>43</v>
      </c>
      <c r="S3" s="7" t="s">
        <v>43</v>
      </c>
      <c r="T3" s="7" t="s">
        <v>43</v>
      </c>
      <c r="U3" s="7" t="s">
        <v>43</v>
      </c>
      <c r="V3" s="9" t="s">
        <v>43</v>
      </c>
      <c r="W3" s="7"/>
      <c r="X3" s="7"/>
      <c r="Y3" s="8"/>
      <c r="Z3" s="7"/>
      <c r="AA3" s="7"/>
      <c r="AB3" s="7"/>
      <c r="AC3" s="7"/>
      <c r="AD3" s="7"/>
    </row>
    <row r="4">
      <c r="A4" s="10" t="s">
        <v>52</v>
      </c>
      <c r="B4" s="11" t="s">
        <v>53</v>
      </c>
      <c r="C4" s="11" t="s">
        <v>54</v>
      </c>
      <c r="D4" s="11" t="s">
        <v>55</v>
      </c>
      <c r="E4" s="11" t="s">
        <v>56</v>
      </c>
      <c r="F4" s="11" t="s">
        <v>57</v>
      </c>
      <c r="G4" s="11" t="s">
        <v>58</v>
      </c>
      <c r="H4" s="12" t="s">
        <v>59</v>
      </c>
      <c r="I4" s="11" t="s">
        <v>60</v>
      </c>
      <c r="J4" s="11" t="s">
        <v>61</v>
      </c>
      <c r="K4" s="11" t="s">
        <v>37</v>
      </c>
      <c r="L4" s="11" t="s">
        <v>62</v>
      </c>
      <c r="M4" s="11" t="s">
        <v>63</v>
      </c>
      <c r="N4" s="11" t="s">
        <v>64</v>
      </c>
      <c r="O4" s="11" t="s">
        <v>65</v>
      </c>
      <c r="P4" s="11" t="s">
        <v>43</v>
      </c>
      <c r="Q4" s="11" t="s">
        <v>66</v>
      </c>
      <c r="R4" s="11" t="s">
        <v>67</v>
      </c>
      <c r="S4" s="11" t="s">
        <v>68</v>
      </c>
      <c r="T4" s="11" t="s">
        <v>69</v>
      </c>
      <c r="U4" s="11" t="s">
        <v>70</v>
      </c>
      <c r="V4" s="13">
        <v>45904.0</v>
      </c>
      <c r="W4" s="11" t="s">
        <v>37</v>
      </c>
      <c r="X4" s="11" t="s">
        <v>71</v>
      </c>
      <c r="Y4" s="14">
        <v>3.0</v>
      </c>
      <c r="Z4" s="11" t="s">
        <v>43</v>
      </c>
      <c r="AA4" s="11" t="s">
        <v>72</v>
      </c>
      <c r="AB4" s="11"/>
      <c r="AC4" s="11"/>
      <c r="AD4" s="11"/>
    </row>
    <row r="5">
      <c r="A5" s="10" t="s">
        <v>73</v>
      </c>
      <c r="B5" s="11" t="s">
        <v>74</v>
      </c>
      <c r="C5" s="11" t="s">
        <v>54</v>
      </c>
      <c r="D5" s="11" t="s">
        <v>55</v>
      </c>
      <c r="E5" s="11" t="s">
        <v>56</v>
      </c>
      <c r="F5" s="11" t="s">
        <v>75</v>
      </c>
      <c r="G5" s="11" t="s">
        <v>58</v>
      </c>
      <c r="H5" s="12" t="s">
        <v>76</v>
      </c>
      <c r="I5" s="11" t="s">
        <v>77</v>
      </c>
      <c r="J5" s="11" t="s">
        <v>78</v>
      </c>
      <c r="K5" s="11" t="s">
        <v>37</v>
      </c>
      <c r="L5" s="11" t="s">
        <v>79</v>
      </c>
      <c r="M5" s="11" t="s">
        <v>80</v>
      </c>
      <c r="N5" s="11" t="s">
        <v>81</v>
      </c>
      <c r="O5" s="11" t="s">
        <v>82</v>
      </c>
      <c r="P5" s="11" t="s">
        <v>43</v>
      </c>
      <c r="Q5" s="11" t="s">
        <v>83</v>
      </c>
      <c r="R5" s="11" t="s">
        <v>84</v>
      </c>
      <c r="S5" s="11" t="s">
        <v>85</v>
      </c>
      <c r="T5" s="11" t="s">
        <v>45</v>
      </c>
      <c r="U5" s="11" t="s">
        <v>43</v>
      </c>
      <c r="V5" s="11" t="s">
        <v>43</v>
      </c>
      <c r="W5" s="11" t="s">
        <v>43</v>
      </c>
      <c r="X5" s="11" t="s">
        <v>43</v>
      </c>
      <c r="Y5" s="11" t="s">
        <v>43</v>
      </c>
      <c r="Z5" s="11" t="s">
        <v>43</v>
      </c>
      <c r="AA5" s="11" t="s">
        <v>86</v>
      </c>
      <c r="AB5" s="11"/>
      <c r="AC5" s="11"/>
      <c r="AD5" s="11"/>
    </row>
    <row r="6">
      <c r="A6" s="10" t="s">
        <v>87</v>
      </c>
      <c r="B6" s="11" t="s">
        <v>88</v>
      </c>
      <c r="C6" s="11" t="s">
        <v>54</v>
      </c>
      <c r="D6" s="11" t="s">
        <v>55</v>
      </c>
      <c r="E6" s="11" t="s">
        <v>56</v>
      </c>
      <c r="F6" s="11" t="s">
        <v>89</v>
      </c>
      <c r="G6" s="11" t="s">
        <v>58</v>
      </c>
      <c r="H6" s="12" t="s">
        <v>90</v>
      </c>
      <c r="I6" s="11" t="s">
        <v>91</v>
      </c>
      <c r="J6" s="11" t="s">
        <v>92</v>
      </c>
      <c r="K6" s="11" t="s">
        <v>37</v>
      </c>
      <c r="L6" s="11" t="s">
        <v>93</v>
      </c>
      <c r="M6" s="11" t="s">
        <v>94</v>
      </c>
      <c r="N6" s="11" t="s">
        <v>95</v>
      </c>
      <c r="O6" s="11" t="s">
        <v>96</v>
      </c>
      <c r="P6" s="11" t="s">
        <v>97</v>
      </c>
      <c r="Q6" s="11" t="s">
        <v>98</v>
      </c>
      <c r="R6" s="11" t="s">
        <v>99</v>
      </c>
      <c r="S6" s="11" t="s">
        <v>100</v>
      </c>
      <c r="T6" s="11" t="s">
        <v>45</v>
      </c>
      <c r="U6" s="11" t="s">
        <v>43</v>
      </c>
      <c r="V6" s="11" t="s">
        <v>43</v>
      </c>
      <c r="W6" s="11" t="s">
        <v>43</v>
      </c>
      <c r="X6" s="11" t="s">
        <v>43</v>
      </c>
      <c r="Y6" s="11" t="s">
        <v>43</v>
      </c>
      <c r="Z6" s="11" t="s">
        <v>43</v>
      </c>
      <c r="AA6" s="11" t="s">
        <v>86</v>
      </c>
      <c r="AB6" s="11"/>
      <c r="AC6" s="11"/>
      <c r="AD6" s="11"/>
    </row>
    <row r="7">
      <c r="A7" s="10" t="s">
        <v>101</v>
      </c>
      <c r="B7" s="11" t="s">
        <v>102</v>
      </c>
      <c r="C7" s="11" t="s">
        <v>54</v>
      </c>
      <c r="D7" s="11" t="s">
        <v>55</v>
      </c>
      <c r="E7" s="11" t="s">
        <v>56</v>
      </c>
      <c r="F7" s="11" t="s">
        <v>103</v>
      </c>
      <c r="G7" s="11" t="s">
        <v>58</v>
      </c>
      <c r="H7" s="12" t="s">
        <v>104</v>
      </c>
      <c r="I7" s="11" t="s">
        <v>105</v>
      </c>
      <c r="J7" s="11" t="s">
        <v>106</v>
      </c>
      <c r="K7" s="11" t="s">
        <v>37</v>
      </c>
      <c r="L7" s="11" t="s">
        <v>93</v>
      </c>
      <c r="M7" s="11" t="s">
        <v>107</v>
      </c>
      <c r="N7" s="11" t="s">
        <v>108</v>
      </c>
      <c r="O7" s="11" t="s">
        <v>109</v>
      </c>
      <c r="P7" s="11" t="s">
        <v>43</v>
      </c>
      <c r="Q7" s="11" t="s">
        <v>110</v>
      </c>
      <c r="R7" s="11" t="s">
        <v>111</v>
      </c>
      <c r="S7" s="11" t="s">
        <v>112</v>
      </c>
      <c r="T7" s="11" t="s">
        <v>45</v>
      </c>
      <c r="U7" s="11" t="s">
        <v>43</v>
      </c>
      <c r="V7" s="11" t="s">
        <v>43</v>
      </c>
      <c r="W7" s="11" t="s">
        <v>43</v>
      </c>
      <c r="X7" s="11" t="s">
        <v>113</v>
      </c>
      <c r="Y7" s="11" t="s">
        <v>43</v>
      </c>
      <c r="Z7" s="11" t="s">
        <v>43</v>
      </c>
      <c r="AA7" s="11" t="s">
        <v>86</v>
      </c>
      <c r="AB7" s="11"/>
      <c r="AC7" s="11"/>
      <c r="AD7" s="11"/>
    </row>
    <row r="8">
      <c r="A8" s="10" t="s">
        <v>114</v>
      </c>
      <c r="B8" s="11" t="s">
        <v>115</v>
      </c>
      <c r="C8" s="11" t="s">
        <v>54</v>
      </c>
      <c r="D8" s="11" t="s">
        <v>55</v>
      </c>
      <c r="E8" s="11" t="s">
        <v>116</v>
      </c>
      <c r="F8" s="11" t="s">
        <v>117</v>
      </c>
      <c r="G8" s="11" t="s">
        <v>118</v>
      </c>
      <c r="H8" s="12" t="s">
        <v>119</v>
      </c>
      <c r="I8" s="11" t="s">
        <v>120</v>
      </c>
      <c r="J8" s="11" t="s">
        <v>121</v>
      </c>
      <c r="K8" s="11" t="s">
        <v>37</v>
      </c>
      <c r="L8" s="11" t="s">
        <v>122</v>
      </c>
      <c r="M8" s="11" t="s">
        <v>123</v>
      </c>
      <c r="N8" s="11" t="s">
        <v>124</v>
      </c>
      <c r="O8" s="11" t="s">
        <v>125</v>
      </c>
      <c r="P8" s="11" t="s">
        <v>126</v>
      </c>
      <c r="Q8" s="11" t="s">
        <v>127</v>
      </c>
      <c r="R8" s="11" t="s">
        <v>128</v>
      </c>
      <c r="S8" s="11" t="s">
        <v>129</v>
      </c>
      <c r="T8" s="11" t="s">
        <v>45</v>
      </c>
      <c r="U8" s="11" t="s">
        <v>43</v>
      </c>
      <c r="V8" s="11" t="s">
        <v>43</v>
      </c>
      <c r="W8" s="11" t="s">
        <v>43</v>
      </c>
      <c r="X8" s="11" t="s">
        <v>130</v>
      </c>
      <c r="Y8" s="11" t="s">
        <v>43</v>
      </c>
      <c r="Z8" s="11" t="s">
        <v>43</v>
      </c>
      <c r="AA8" s="11" t="s">
        <v>131</v>
      </c>
      <c r="AB8" s="11"/>
      <c r="AC8" s="11"/>
      <c r="AD8" s="11"/>
    </row>
    <row r="9">
      <c r="A9" s="10" t="s">
        <v>132</v>
      </c>
      <c r="B9" s="11" t="s">
        <v>133</v>
      </c>
      <c r="C9" s="11" t="s">
        <v>54</v>
      </c>
      <c r="D9" s="11" t="s">
        <v>55</v>
      </c>
      <c r="E9" s="11" t="s">
        <v>134</v>
      </c>
      <c r="F9" s="11" t="s">
        <v>135</v>
      </c>
      <c r="G9" s="11" t="s">
        <v>58</v>
      </c>
      <c r="H9" s="11" t="s">
        <v>136</v>
      </c>
      <c r="I9" s="11" t="s">
        <v>137</v>
      </c>
      <c r="J9" s="11" t="s">
        <v>138</v>
      </c>
      <c r="K9" s="11" t="s">
        <v>37</v>
      </c>
      <c r="L9" s="11" t="s">
        <v>139</v>
      </c>
      <c r="M9" s="11" t="s">
        <v>140</v>
      </c>
      <c r="N9" s="11" t="s">
        <v>141</v>
      </c>
      <c r="O9" s="11" t="s">
        <v>142</v>
      </c>
      <c r="P9" s="11" t="s">
        <v>143</v>
      </c>
      <c r="Q9" s="11" t="s">
        <v>144</v>
      </c>
      <c r="R9" s="11" t="s">
        <v>145</v>
      </c>
      <c r="S9" s="11" t="s">
        <v>146</v>
      </c>
      <c r="T9" s="11" t="s">
        <v>45</v>
      </c>
      <c r="U9" s="11" t="s">
        <v>43</v>
      </c>
      <c r="V9" s="11" t="s">
        <v>43</v>
      </c>
      <c r="W9" s="11" t="s">
        <v>43</v>
      </c>
      <c r="X9" s="11" t="s">
        <v>130</v>
      </c>
      <c r="Y9" s="11" t="s">
        <v>43</v>
      </c>
      <c r="Z9" s="11" t="s">
        <v>43</v>
      </c>
      <c r="AA9" s="11" t="s">
        <v>131</v>
      </c>
      <c r="AB9" s="11"/>
      <c r="AC9" s="11"/>
      <c r="AD9" s="11"/>
    </row>
    <row r="10">
      <c r="A10" s="10" t="s">
        <v>147</v>
      </c>
      <c r="B10" s="11" t="s">
        <v>148</v>
      </c>
      <c r="C10" s="11" t="s">
        <v>54</v>
      </c>
      <c r="D10" s="11" t="s">
        <v>55</v>
      </c>
      <c r="E10" s="11" t="s">
        <v>149</v>
      </c>
      <c r="F10" s="11" t="s">
        <v>150</v>
      </c>
      <c r="G10" s="11" t="s">
        <v>58</v>
      </c>
      <c r="H10" s="12" t="s">
        <v>151</v>
      </c>
      <c r="I10" s="11" t="s">
        <v>152</v>
      </c>
      <c r="J10" s="11" t="s">
        <v>153</v>
      </c>
      <c r="K10" s="11" t="s">
        <v>37</v>
      </c>
      <c r="L10" s="11" t="s">
        <v>154</v>
      </c>
      <c r="M10" s="11" t="s">
        <v>155</v>
      </c>
      <c r="N10" s="11" t="s">
        <v>156</v>
      </c>
      <c r="O10" s="11" t="s">
        <v>157</v>
      </c>
      <c r="P10" s="11" t="s">
        <v>158</v>
      </c>
      <c r="Q10" s="11" t="s">
        <v>159</v>
      </c>
      <c r="R10" s="11" t="s">
        <v>160</v>
      </c>
      <c r="S10" s="11" t="s">
        <v>161</v>
      </c>
      <c r="T10" s="11" t="s">
        <v>45</v>
      </c>
      <c r="U10" s="11" t="s">
        <v>43</v>
      </c>
      <c r="V10" s="11" t="s">
        <v>43</v>
      </c>
      <c r="W10" s="11" t="s">
        <v>43</v>
      </c>
      <c r="X10" s="11" t="s">
        <v>43</v>
      </c>
      <c r="Y10" s="11" t="s">
        <v>43</v>
      </c>
      <c r="Z10" s="11" t="s">
        <v>43</v>
      </c>
      <c r="AA10" s="11" t="s">
        <v>86</v>
      </c>
      <c r="AB10" s="11"/>
      <c r="AC10" s="11"/>
      <c r="AD10" s="11"/>
    </row>
    <row r="11">
      <c r="A11" s="10" t="s">
        <v>162</v>
      </c>
      <c r="B11" s="11" t="s">
        <v>163</v>
      </c>
      <c r="C11" s="11" t="s">
        <v>54</v>
      </c>
      <c r="D11" s="11" t="s">
        <v>55</v>
      </c>
      <c r="E11" s="11" t="s">
        <v>56</v>
      </c>
      <c r="F11" s="11" t="s">
        <v>164</v>
      </c>
      <c r="G11" s="11" t="s">
        <v>33</v>
      </c>
      <c r="H11" s="12" t="s">
        <v>165</v>
      </c>
      <c r="I11" s="11" t="s">
        <v>166</v>
      </c>
      <c r="J11" s="11" t="s">
        <v>167</v>
      </c>
      <c r="K11" s="11" t="s">
        <v>37</v>
      </c>
      <c r="L11" s="11" t="s">
        <v>168</v>
      </c>
      <c r="M11" s="11" t="s">
        <v>169</v>
      </c>
      <c r="N11" s="11" t="s">
        <v>170</v>
      </c>
      <c r="O11" s="11" t="s">
        <v>171</v>
      </c>
      <c r="P11" s="11" t="s">
        <v>172</v>
      </c>
      <c r="Q11" s="11" t="s">
        <v>173</v>
      </c>
      <c r="R11" s="11" t="s">
        <v>174</v>
      </c>
      <c r="S11" s="11" t="s">
        <v>175</v>
      </c>
      <c r="T11" s="11" t="s">
        <v>45</v>
      </c>
      <c r="U11" s="11" t="s">
        <v>43</v>
      </c>
      <c r="V11" s="11" t="s">
        <v>43</v>
      </c>
      <c r="W11" s="11" t="s">
        <v>43</v>
      </c>
      <c r="X11" s="11" t="s">
        <v>176</v>
      </c>
      <c r="Y11" s="11" t="s">
        <v>43</v>
      </c>
      <c r="Z11" s="11" t="s">
        <v>43</v>
      </c>
      <c r="AA11" s="11" t="s">
        <v>86</v>
      </c>
      <c r="AB11" s="11"/>
      <c r="AC11" s="11"/>
      <c r="AD11" s="11"/>
    </row>
    <row r="12">
      <c r="A12" s="10" t="s">
        <v>177</v>
      </c>
      <c r="B12" s="11" t="s">
        <v>178</v>
      </c>
      <c r="C12" s="11" t="s">
        <v>54</v>
      </c>
      <c r="D12" s="11" t="s">
        <v>55</v>
      </c>
      <c r="E12" s="11" t="s">
        <v>56</v>
      </c>
      <c r="F12" s="11" t="s">
        <v>179</v>
      </c>
      <c r="G12" s="11" t="s">
        <v>33</v>
      </c>
      <c r="H12" s="12" t="s">
        <v>180</v>
      </c>
      <c r="I12" s="11" t="s">
        <v>181</v>
      </c>
      <c r="J12" s="11" t="s">
        <v>182</v>
      </c>
      <c r="K12" s="11" t="s">
        <v>37</v>
      </c>
      <c r="L12" s="11" t="s">
        <v>183</v>
      </c>
      <c r="M12" s="11" t="s">
        <v>184</v>
      </c>
      <c r="N12" s="11" t="s">
        <v>185</v>
      </c>
      <c r="O12" s="11" t="s">
        <v>186</v>
      </c>
      <c r="P12" s="11" t="s">
        <v>187</v>
      </c>
      <c r="Q12" s="11" t="s">
        <v>188</v>
      </c>
      <c r="R12" s="11" t="s">
        <v>189</v>
      </c>
      <c r="S12" s="11" t="s">
        <v>190</v>
      </c>
      <c r="T12" s="11" t="s">
        <v>45</v>
      </c>
      <c r="U12" s="11" t="s">
        <v>43</v>
      </c>
      <c r="V12" s="11" t="s">
        <v>43</v>
      </c>
      <c r="W12" s="11" t="s">
        <v>43</v>
      </c>
      <c r="X12" s="11" t="s">
        <v>191</v>
      </c>
      <c r="Y12" s="11" t="s">
        <v>43</v>
      </c>
      <c r="Z12" s="11" t="s">
        <v>43</v>
      </c>
      <c r="AA12" s="11" t="s">
        <v>86</v>
      </c>
      <c r="AB12" s="11"/>
      <c r="AC12" s="11"/>
      <c r="AD12" s="11"/>
    </row>
    <row r="13">
      <c r="A13" s="10" t="s">
        <v>192</v>
      </c>
      <c r="B13" s="11" t="s">
        <v>193</v>
      </c>
      <c r="C13" s="11" t="s">
        <v>54</v>
      </c>
      <c r="D13" s="11" t="s">
        <v>55</v>
      </c>
      <c r="E13" s="11" t="s">
        <v>56</v>
      </c>
      <c r="F13" s="11" t="s">
        <v>194</v>
      </c>
      <c r="G13" s="11" t="s">
        <v>33</v>
      </c>
      <c r="H13" s="12" t="s">
        <v>195</v>
      </c>
      <c r="I13" s="11" t="s">
        <v>196</v>
      </c>
      <c r="J13" s="11" t="s">
        <v>197</v>
      </c>
      <c r="K13" s="11" t="s">
        <v>37</v>
      </c>
      <c r="L13" s="11" t="s">
        <v>198</v>
      </c>
      <c r="M13" s="11" t="s">
        <v>199</v>
      </c>
      <c r="N13" s="11" t="s">
        <v>200</v>
      </c>
      <c r="O13" s="11" t="s">
        <v>201</v>
      </c>
      <c r="P13" s="11" t="s">
        <v>202</v>
      </c>
      <c r="Q13" s="11" t="s">
        <v>203</v>
      </c>
      <c r="R13" s="11" t="s">
        <v>204</v>
      </c>
      <c r="S13" s="11" t="s">
        <v>205</v>
      </c>
      <c r="T13" s="11" t="s">
        <v>45</v>
      </c>
      <c r="U13" s="11" t="s">
        <v>43</v>
      </c>
      <c r="V13" s="11" t="s">
        <v>43</v>
      </c>
      <c r="W13" s="11" t="s">
        <v>43</v>
      </c>
      <c r="X13" s="11" t="s">
        <v>43</v>
      </c>
      <c r="Y13" s="11" t="s">
        <v>43</v>
      </c>
      <c r="Z13" s="11" t="s">
        <v>43</v>
      </c>
      <c r="AA13" s="11" t="s">
        <v>86</v>
      </c>
      <c r="AB13" s="11"/>
      <c r="AC13" s="11"/>
      <c r="AD13" s="11"/>
    </row>
    <row r="14">
      <c r="A14" s="10" t="s">
        <v>206</v>
      </c>
      <c r="B14" s="11" t="s">
        <v>207</v>
      </c>
      <c r="C14" s="11" t="s">
        <v>54</v>
      </c>
      <c r="D14" s="11" t="s">
        <v>55</v>
      </c>
      <c r="E14" s="11" t="s">
        <v>208</v>
      </c>
      <c r="F14" s="11" t="s">
        <v>209</v>
      </c>
      <c r="G14" s="11" t="s">
        <v>33</v>
      </c>
      <c r="H14" s="12" t="s">
        <v>210</v>
      </c>
      <c r="I14" s="11" t="s">
        <v>211</v>
      </c>
      <c r="J14" s="11" t="s">
        <v>212</v>
      </c>
      <c r="K14" s="11" t="s">
        <v>37</v>
      </c>
      <c r="L14" s="11" t="s">
        <v>213</v>
      </c>
      <c r="M14" s="11" t="s">
        <v>214</v>
      </c>
      <c r="N14" s="11" t="s">
        <v>215</v>
      </c>
      <c r="O14" s="11" t="s">
        <v>216</v>
      </c>
      <c r="P14" s="11" t="s">
        <v>217</v>
      </c>
      <c r="Q14" s="11" t="s">
        <v>218</v>
      </c>
      <c r="R14" s="11" t="s">
        <v>219</v>
      </c>
      <c r="S14" s="11" t="s">
        <v>220</v>
      </c>
      <c r="T14" s="11" t="s">
        <v>45</v>
      </c>
      <c r="U14" s="11" t="s">
        <v>43</v>
      </c>
      <c r="V14" s="11" t="s">
        <v>43</v>
      </c>
      <c r="W14" s="11" t="s">
        <v>43</v>
      </c>
      <c r="X14" s="11" t="s">
        <v>221</v>
      </c>
      <c r="Y14" s="11" t="s">
        <v>43</v>
      </c>
      <c r="Z14" s="11" t="s">
        <v>43</v>
      </c>
      <c r="AA14" s="11" t="s">
        <v>86</v>
      </c>
      <c r="AB14" s="11"/>
      <c r="AC14" s="11"/>
      <c r="AD14" s="11"/>
    </row>
    <row r="15">
      <c r="A15" s="10" t="s">
        <v>222</v>
      </c>
      <c r="B15" s="11" t="s">
        <v>223</v>
      </c>
      <c r="C15" s="11" t="s">
        <v>54</v>
      </c>
      <c r="D15" s="11" t="s">
        <v>55</v>
      </c>
      <c r="E15" s="11" t="s">
        <v>224</v>
      </c>
      <c r="F15" s="11" t="s">
        <v>225</v>
      </c>
      <c r="G15" s="11" t="s">
        <v>33</v>
      </c>
      <c r="H15" s="12" t="s">
        <v>226</v>
      </c>
      <c r="I15" s="11" t="s">
        <v>227</v>
      </c>
      <c r="J15" s="11" t="s">
        <v>228</v>
      </c>
      <c r="K15" s="11" t="s">
        <v>37</v>
      </c>
      <c r="L15" s="11" t="s">
        <v>229</v>
      </c>
      <c r="M15" s="11" t="s">
        <v>230</v>
      </c>
      <c r="N15" s="11" t="s">
        <v>231</v>
      </c>
      <c r="O15" s="11" t="s">
        <v>232</v>
      </c>
      <c r="P15" s="11" t="s">
        <v>43</v>
      </c>
      <c r="Q15" s="11" t="s">
        <v>233</v>
      </c>
      <c r="R15" s="11" t="s">
        <v>234</v>
      </c>
      <c r="S15" s="11" t="s">
        <v>235</v>
      </c>
      <c r="T15" s="11" t="s">
        <v>45</v>
      </c>
      <c r="U15" s="11" t="s">
        <v>43</v>
      </c>
      <c r="V15" s="11" t="s">
        <v>43</v>
      </c>
      <c r="W15" s="11" t="s">
        <v>43</v>
      </c>
      <c r="X15" s="11" t="s">
        <v>236</v>
      </c>
      <c r="Y15" s="11" t="s">
        <v>43</v>
      </c>
      <c r="Z15" s="11" t="s">
        <v>43</v>
      </c>
      <c r="AA15" s="11" t="s">
        <v>237</v>
      </c>
      <c r="AB15" s="11"/>
      <c r="AC15" s="11"/>
      <c r="AD15" s="11"/>
    </row>
    <row r="16">
      <c r="A16" s="10" t="s">
        <v>238</v>
      </c>
      <c r="B16" s="11" t="s">
        <v>239</v>
      </c>
      <c r="C16" s="11" t="s">
        <v>54</v>
      </c>
      <c r="D16" s="11" t="s">
        <v>55</v>
      </c>
      <c r="E16" s="11" t="s">
        <v>224</v>
      </c>
      <c r="F16" s="11" t="s">
        <v>240</v>
      </c>
      <c r="G16" s="11" t="s">
        <v>33</v>
      </c>
      <c r="H16" s="12" t="s">
        <v>241</v>
      </c>
      <c r="I16" s="11" t="s">
        <v>242</v>
      </c>
      <c r="J16" s="11" t="s">
        <v>243</v>
      </c>
      <c r="K16" s="11" t="s">
        <v>37</v>
      </c>
      <c r="L16" s="11" t="s">
        <v>244</v>
      </c>
      <c r="M16" s="11" t="s">
        <v>214</v>
      </c>
      <c r="N16" s="11" t="s">
        <v>245</v>
      </c>
      <c r="O16" s="11" t="s">
        <v>216</v>
      </c>
      <c r="P16" s="11" t="s">
        <v>43</v>
      </c>
      <c r="Q16" s="11" t="s">
        <v>246</v>
      </c>
      <c r="R16" s="11" t="s">
        <v>247</v>
      </c>
      <c r="S16" s="11" t="s">
        <v>248</v>
      </c>
      <c r="T16" s="11" t="s">
        <v>45</v>
      </c>
      <c r="U16" s="11" t="s">
        <v>43</v>
      </c>
      <c r="V16" s="11" t="s">
        <v>43</v>
      </c>
      <c r="W16" s="11" t="s">
        <v>43</v>
      </c>
      <c r="X16" s="11" t="s">
        <v>249</v>
      </c>
      <c r="Y16" s="11" t="s">
        <v>43</v>
      </c>
      <c r="Z16" s="11" t="s">
        <v>43</v>
      </c>
      <c r="AA16" s="11" t="s">
        <v>86</v>
      </c>
      <c r="AB16" s="11"/>
      <c r="AC16" s="11"/>
      <c r="AD16" s="11"/>
    </row>
    <row r="17">
      <c r="A17" s="10" t="s">
        <v>250</v>
      </c>
      <c r="B17" s="11" t="s">
        <v>251</v>
      </c>
      <c r="C17" s="11" t="s">
        <v>54</v>
      </c>
      <c r="D17" s="11" t="s">
        <v>55</v>
      </c>
      <c r="E17" s="11" t="s">
        <v>149</v>
      </c>
      <c r="F17" s="11" t="s">
        <v>252</v>
      </c>
      <c r="G17" s="11" t="s">
        <v>253</v>
      </c>
      <c r="H17" s="12" t="s">
        <v>254</v>
      </c>
      <c r="I17" s="11" t="s">
        <v>255</v>
      </c>
      <c r="J17" s="11" t="s">
        <v>256</v>
      </c>
      <c r="K17" s="11" t="s">
        <v>50</v>
      </c>
      <c r="L17" s="11" t="s">
        <v>257</v>
      </c>
      <c r="M17" s="11" t="s">
        <v>258</v>
      </c>
      <c r="N17" s="11" t="s">
        <v>259</v>
      </c>
      <c r="O17" s="11" t="s">
        <v>216</v>
      </c>
      <c r="P17" s="11" t="s">
        <v>260</v>
      </c>
      <c r="Q17" s="11" t="s">
        <v>261</v>
      </c>
      <c r="R17" s="11" t="s">
        <v>262</v>
      </c>
      <c r="S17" s="11" t="s">
        <v>263</v>
      </c>
      <c r="T17" s="11" t="s">
        <v>45</v>
      </c>
      <c r="U17" s="11" t="s">
        <v>43</v>
      </c>
      <c r="V17" s="11" t="s">
        <v>43</v>
      </c>
      <c r="W17" s="11" t="s">
        <v>43</v>
      </c>
      <c r="X17" s="11" t="s">
        <v>264</v>
      </c>
      <c r="Y17" s="11" t="s">
        <v>43</v>
      </c>
      <c r="Z17" s="11" t="s">
        <v>43</v>
      </c>
      <c r="AA17" s="11" t="s">
        <v>86</v>
      </c>
      <c r="AB17" s="11"/>
      <c r="AC17" s="11"/>
      <c r="AD17" s="11"/>
    </row>
    <row r="18">
      <c r="A18" s="10" t="s">
        <v>265</v>
      </c>
      <c r="B18" s="11" t="s">
        <v>266</v>
      </c>
      <c r="C18" s="11" t="s">
        <v>54</v>
      </c>
      <c r="D18" s="11" t="s">
        <v>55</v>
      </c>
      <c r="E18" s="11" t="s">
        <v>267</v>
      </c>
      <c r="F18" s="11" t="s">
        <v>268</v>
      </c>
      <c r="G18" s="11" t="s">
        <v>253</v>
      </c>
      <c r="H18" s="12" t="s">
        <v>269</v>
      </c>
      <c r="I18" s="11" t="s">
        <v>270</v>
      </c>
      <c r="J18" s="11" t="s">
        <v>271</v>
      </c>
      <c r="K18" s="11" t="s">
        <v>50</v>
      </c>
      <c r="L18" s="11" t="s">
        <v>257</v>
      </c>
      <c r="M18" s="11" t="s">
        <v>272</v>
      </c>
      <c r="N18" s="11" t="s">
        <v>273</v>
      </c>
      <c r="O18" s="11" t="s">
        <v>216</v>
      </c>
      <c r="P18" s="11" t="s">
        <v>260</v>
      </c>
      <c r="Q18" s="11" t="s">
        <v>274</v>
      </c>
      <c r="R18" s="11" t="s">
        <v>262</v>
      </c>
      <c r="S18" s="11" t="s">
        <v>275</v>
      </c>
      <c r="T18" s="11" t="s">
        <v>45</v>
      </c>
      <c r="U18" s="11" t="s">
        <v>43</v>
      </c>
      <c r="V18" s="11" t="s">
        <v>43</v>
      </c>
      <c r="W18" s="11" t="s">
        <v>43</v>
      </c>
      <c r="X18" s="11" t="s">
        <v>264</v>
      </c>
      <c r="Y18" s="11" t="s">
        <v>43</v>
      </c>
      <c r="Z18" s="11" t="s">
        <v>43</v>
      </c>
      <c r="AA18" s="11" t="s">
        <v>86</v>
      </c>
      <c r="AB18" s="11"/>
      <c r="AC18" s="11"/>
      <c r="AD18" s="11"/>
    </row>
    <row r="19">
      <c r="A19" s="15" t="s">
        <v>276</v>
      </c>
      <c r="B19" s="16" t="s">
        <v>277</v>
      </c>
      <c r="C19" s="16" t="s">
        <v>278</v>
      </c>
      <c r="D19" s="16" t="s">
        <v>279</v>
      </c>
      <c r="E19" s="16" t="s">
        <v>280</v>
      </c>
      <c r="F19" s="17" t="s">
        <v>281</v>
      </c>
      <c r="G19" s="17" t="s">
        <v>58</v>
      </c>
      <c r="H19" s="18" t="s">
        <v>282</v>
      </c>
      <c r="I19" s="16" t="s">
        <v>283</v>
      </c>
      <c r="J19" s="16" t="s">
        <v>284</v>
      </c>
      <c r="K19" s="16" t="s">
        <v>37</v>
      </c>
      <c r="L19" s="16" t="s">
        <v>285</v>
      </c>
      <c r="M19" s="16" t="s">
        <v>286</v>
      </c>
      <c r="N19" s="16" t="s">
        <v>287</v>
      </c>
      <c r="O19" s="16" t="s">
        <v>288</v>
      </c>
      <c r="P19" s="16" t="s">
        <v>289</v>
      </c>
      <c r="Q19" s="16" t="s">
        <v>290</v>
      </c>
      <c r="R19" s="16" t="s">
        <v>291</v>
      </c>
      <c r="S19" s="16" t="s">
        <v>292</v>
      </c>
      <c r="T19" s="16" t="s">
        <v>45</v>
      </c>
      <c r="U19" s="16" t="s">
        <v>43</v>
      </c>
      <c r="V19" s="16" t="s">
        <v>43</v>
      </c>
      <c r="W19" s="16" t="s">
        <v>43</v>
      </c>
      <c r="X19" s="16" t="s">
        <v>293</v>
      </c>
      <c r="Y19" s="16" t="s">
        <v>43</v>
      </c>
      <c r="Z19" s="16" t="s">
        <v>43</v>
      </c>
      <c r="AA19" s="16" t="s">
        <v>86</v>
      </c>
      <c r="AB19" s="16"/>
      <c r="AC19" s="16"/>
      <c r="AD19" s="16"/>
    </row>
    <row r="20">
      <c r="A20" s="15" t="s">
        <v>294</v>
      </c>
      <c r="B20" s="16" t="s">
        <v>295</v>
      </c>
      <c r="C20" s="16" t="s">
        <v>278</v>
      </c>
      <c r="D20" s="16" t="s">
        <v>279</v>
      </c>
      <c r="E20" s="16" t="s">
        <v>296</v>
      </c>
      <c r="F20" s="17" t="s">
        <v>297</v>
      </c>
      <c r="G20" s="17" t="s">
        <v>58</v>
      </c>
      <c r="H20" s="18" t="s">
        <v>298</v>
      </c>
      <c r="I20" s="16" t="s">
        <v>299</v>
      </c>
      <c r="J20" s="16" t="s">
        <v>300</v>
      </c>
      <c r="K20" s="16" t="s">
        <v>37</v>
      </c>
      <c r="L20" s="16" t="s">
        <v>301</v>
      </c>
      <c r="M20" s="16" t="s">
        <v>302</v>
      </c>
      <c r="N20" s="16" t="s">
        <v>303</v>
      </c>
      <c r="O20" s="16" t="s">
        <v>304</v>
      </c>
      <c r="P20" s="16" t="s">
        <v>305</v>
      </c>
      <c r="Q20" s="16" t="s">
        <v>306</v>
      </c>
      <c r="R20" s="16" t="s">
        <v>291</v>
      </c>
      <c r="S20" s="16" t="s">
        <v>307</v>
      </c>
      <c r="T20" s="16" t="s">
        <v>308</v>
      </c>
      <c r="U20" s="16" t="s">
        <v>309</v>
      </c>
      <c r="V20" s="19">
        <v>45930.0</v>
      </c>
      <c r="W20" s="16" t="s">
        <v>43</v>
      </c>
      <c r="X20" s="16" t="s">
        <v>310</v>
      </c>
      <c r="Y20" s="16" t="s">
        <v>43</v>
      </c>
      <c r="Z20" s="16" t="s">
        <v>43</v>
      </c>
      <c r="AA20" s="16" t="s">
        <v>311</v>
      </c>
      <c r="AB20" s="16"/>
      <c r="AC20" s="16"/>
      <c r="AD20" s="16"/>
    </row>
    <row r="21">
      <c r="A21" s="15" t="s">
        <v>312</v>
      </c>
      <c r="B21" s="16" t="s">
        <v>313</v>
      </c>
      <c r="C21" s="16" t="s">
        <v>278</v>
      </c>
      <c r="D21" s="16" t="s">
        <v>279</v>
      </c>
      <c r="E21" s="16" t="s">
        <v>314</v>
      </c>
      <c r="F21" s="17" t="s">
        <v>315</v>
      </c>
      <c r="G21" s="17" t="s">
        <v>58</v>
      </c>
      <c r="H21" s="18" t="s">
        <v>316</v>
      </c>
      <c r="I21" s="16" t="s">
        <v>317</v>
      </c>
      <c r="J21" s="16" t="s">
        <v>318</v>
      </c>
      <c r="K21" s="16" t="s">
        <v>37</v>
      </c>
      <c r="L21" s="16" t="s">
        <v>93</v>
      </c>
      <c r="M21" s="16" t="s">
        <v>94</v>
      </c>
      <c r="N21" s="16" t="s">
        <v>319</v>
      </c>
      <c r="O21" s="16" t="s">
        <v>320</v>
      </c>
      <c r="P21" s="16" t="s">
        <v>321</v>
      </c>
      <c r="Q21" s="16" t="s">
        <v>322</v>
      </c>
      <c r="R21" s="16" t="s">
        <v>323</v>
      </c>
      <c r="S21" s="16" t="s">
        <v>324</v>
      </c>
      <c r="T21" s="16" t="s">
        <v>45</v>
      </c>
      <c r="U21" s="16" t="s">
        <v>43</v>
      </c>
      <c r="V21" s="16" t="s">
        <v>43</v>
      </c>
      <c r="W21" s="16" t="s">
        <v>43</v>
      </c>
      <c r="X21" s="16" t="s">
        <v>325</v>
      </c>
      <c r="Y21" s="16" t="s">
        <v>43</v>
      </c>
      <c r="Z21" s="16" t="s">
        <v>43</v>
      </c>
      <c r="AA21" s="16" t="s">
        <v>86</v>
      </c>
      <c r="AB21" s="16"/>
      <c r="AC21" s="16"/>
      <c r="AD21" s="16"/>
    </row>
    <row r="22">
      <c r="A22" s="15" t="s">
        <v>326</v>
      </c>
      <c r="B22" s="16" t="s">
        <v>327</v>
      </c>
      <c r="C22" s="16" t="s">
        <v>278</v>
      </c>
      <c r="D22" s="16" t="s">
        <v>279</v>
      </c>
      <c r="E22" s="16" t="s">
        <v>328</v>
      </c>
      <c r="F22" s="17" t="s">
        <v>329</v>
      </c>
      <c r="G22" s="17" t="s">
        <v>58</v>
      </c>
      <c r="H22" s="18" t="s">
        <v>330</v>
      </c>
      <c r="I22" s="16" t="s">
        <v>331</v>
      </c>
      <c r="J22" s="16" t="s">
        <v>332</v>
      </c>
      <c r="K22" s="16" t="s">
        <v>37</v>
      </c>
      <c r="L22" s="16" t="s">
        <v>333</v>
      </c>
      <c r="M22" s="16" t="s">
        <v>334</v>
      </c>
      <c r="N22" s="16" t="s">
        <v>335</v>
      </c>
      <c r="O22" s="16" t="s">
        <v>336</v>
      </c>
      <c r="P22" s="16" t="s">
        <v>337</v>
      </c>
      <c r="Q22" s="16" t="s">
        <v>338</v>
      </c>
      <c r="R22" s="16" t="s">
        <v>291</v>
      </c>
      <c r="S22" s="16" t="s">
        <v>339</v>
      </c>
      <c r="T22" s="16" t="s">
        <v>45</v>
      </c>
      <c r="U22" s="16" t="s">
        <v>43</v>
      </c>
      <c r="V22" s="16" t="s">
        <v>43</v>
      </c>
      <c r="W22" s="16" t="s">
        <v>43</v>
      </c>
      <c r="X22" s="16" t="s">
        <v>113</v>
      </c>
      <c r="Y22" s="16" t="s">
        <v>43</v>
      </c>
      <c r="Z22" s="16" t="s">
        <v>43</v>
      </c>
      <c r="AA22" s="16" t="s">
        <v>86</v>
      </c>
      <c r="AB22" s="16"/>
      <c r="AC22" s="16"/>
      <c r="AD22" s="16"/>
    </row>
    <row r="23">
      <c r="A23" s="15" t="s">
        <v>340</v>
      </c>
      <c r="B23" s="16" t="s">
        <v>341</v>
      </c>
      <c r="C23" s="16" t="s">
        <v>278</v>
      </c>
      <c r="D23" s="16" t="s">
        <v>279</v>
      </c>
      <c r="E23" s="16" t="s">
        <v>296</v>
      </c>
      <c r="F23" s="17" t="s">
        <v>342</v>
      </c>
      <c r="G23" s="17" t="s">
        <v>33</v>
      </c>
      <c r="H23" s="18" t="s">
        <v>343</v>
      </c>
      <c r="I23" s="16" t="s">
        <v>344</v>
      </c>
      <c r="J23" s="16" t="s">
        <v>345</v>
      </c>
      <c r="K23" s="16" t="s">
        <v>37</v>
      </c>
      <c r="L23" s="16" t="s">
        <v>346</v>
      </c>
      <c r="M23" s="16" t="s">
        <v>347</v>
      </c>
      <c r="N23" s="16" t="s">
        <v>348</v>
      </c>
      <c r="O23" s="16" t="s">
        <v>349</v>
      </c>
      <c r="P23" s="16" t="s">
        <v>350</v>
      </c>
      <c r="Q23" s="16" t="s">
        <v>43</v>
      </c>
      <c r="R23" s="16" t="s">
        <v>43</v>
      </c>
      <c r="S23" s="16" t="s">
        <v>43</v>
      </c>
      <c r="T23" s="16" t="s">
        <v>45</v>
      </c>
      <c r="U23" s="16" t="s">
        <v>43</v>
      </c>
      <c r="V23" s="16" t="s">
        <v>43</v>
      </c>
      <c r="W23" s="16" t="s">
        <v>43</v>
      </c>
      <c r="X23" s="16" t="s">
        <v>351</v>
      </c>
      <c r="Y23" s="16" t="s">
        <v>43</v>
      </c>
      <c r="Z23" s="16" t="s">
        <v>43</v>
      </c>
      <c r="AA23" s="16" t="s">
        <v>86</v>
      </c>
      <c r="AB23" s="16"/>
      <c r="AC23" s="16"/>
      <c r="AD23" s="16"/>
    </row>
    <row r="24">
      <c r="A24" s="15" t="s">
        <v>352</v>
      </c>
      <c r="B24" s="16" t="s">
        <v>353</v>
      </c>
      <c r="C24" s="16" t="s">
        <v>278</v>
      </c>
      <c r="D24" s="16" t="s">
        <v>279</v>
      </c>
      <c r="E24" s="16" t="s">
        <v>296</v>
      </c>
      <c r="F24" s="17" t="s">
        <v>354</v>
      </c>
      <c r="G24" s="17" t="s">
        <v>58</v>
      </c>
      <c r="H24" s="18" t="s">
        <v>355</v>
      </c>
      <c r="I24" s="16" t="s">
        <v>356</v>
      </c>
      <c r="J24" s="16" t="s">
        <v>357</v>
      </c>
      <c r="K24" s="16" t="s">
        <v>37</v>
      </c>
      <c r="L24" s="16" t="s">
        <v>358</v>
      </c>
      <c r="M24" s="16" t="s">
        <v>359</v>
      </c>
      <c r="N24" s="16" t="s">
        <v>360</v>
      </c>
      <c r="O24" s="16" t="s">
        <v>361</v>
      </c>
      <c r="P24" s="16" t="s">
        <v>362</v>
      </c>
      <c r="Q24" s="16" t="s">
        <v>43</v>
      </c>
      <c r="R24" s="16" t="s">
        <v>363</v>
      </c>
      <c r="S24" s="16" t="s">
        <v>43</v>
      </c>
      <c r="T24" s="16" t="s">
        <v>45</v>
      </c>
      <c r="U24" s="16" t="s">
        <v>43</v>
      </c>
      <c r="V24" s="16" t="s">
        <v>43</v>
      </c>
      <c r="W24" s="16" t="s">
        <v>43</v>
      </c>
      <c r="X24" s="16" t="s">
        <v>364</v>
      </c>
      <c r="Y24" s="16" t="s">
        <v>43</v>
      </c>
      <c r="Z24" s="16" t="s">
        <v>43</v>
      </c>
      <c r="AA24" s="16" t="s">
        <v>86</v>
      </c>
      <c r="AB24" s="16"/>
      <c r="AC24" s="16"/>
      <c r="AD24" s="16"/>
    </row>
    <row r="25">
      <c r="A25" s="15" t="s">
        <v>365</v>
      </c>
      <c r="B25" s="16" t="s">
        <v>366</v>
      </c>
      <c r="C25" s="16" t="s">
        <v>278</v>
      </c>
      <c r="D25" s="16" t="s">
        <v>279</v>
      </c>
      <c r="E25" s="16" t="s">
        <v>296</v>
      </c>
      <c r="F25" s="17" t="s">
        <v>367</v>
      </c>
      <c r="G25" s="17" t="s">
        <v>33</v>
      </c>
      <c r="H25" s="18" t="s">
        <v>368</v>
      </c>
      <c r="I25" s="16" t="s">
        <v>369</v>
      </c>
      <c r="J25" s="16" t="s">
        <v>370</v>
      </c>
      <c r="K25" s="16" t="s">
        <v>50</v>
      </c>
      <c r="L25" s="16" t="s">
        <v>371</v>
      </c>
      <c r="M25" s="16" t="s">
        <v>372</v>
      </c>
      <c r="N25" s="16" t="s">
        <v>373</v>
      </c>
      <c r="O25" s="16" t="s">
        <v>374</v>
      </c>
      <c r="P25" s="16" t="s">
        <v>375</v>
      </c>
      <c r="Q25" s="16" t="s">
        <v>43</v>
      </c>
      <c r="R25" s="16" t="s">
        <v>43</v>
      </c>
      <c r="S25" s="16" t="s">
        <v>43</v>
      </c>
      <c r="T25" s="16" t="s">
        <v>45</v>
      </c>
      <c r="U25" s="16" t="s">
        <v>43</v>
      </c>
      <c r="V25" s="16" t="s">
        <v>43</v>
      </c>
      <c r="W25" s="16" t="s">
        <v>43</v>
      </c>
      <c r="X25" s="16" t="s">
        <v>376</v>
      </c>
      <c r="Y25" s="16" t="s">
        <v>43</v>
      </c>
      <c r="Z25" s="16" t="s">
        <v>43</v>
      </c>
      <c r="AA25" s="16" t="s">
        <v>86</v>
      </c>
      <c r="AB25" s="16"/>
      <c r="AC25" s="16"/>
      <c r="AD25" s="16"/>
    </row>
    <row r="26">
      <c r="A26" s="15" t="s">
        <v>377</v>
      </c>
      <c r="B26" s="16" t="s">
        <v>378</v>
      </c>
      <c r="C26" s="16" t="s">
        <v>278</v>
      </c>
      <c r="D26" s="16" t="s">
        <v>279</v>
      </c>
      <c r="E26" s="16" t="s">
        <v>296</v>
      </c>
      <c r="F26" s="17" t="s">
        <v>379</v>
      </c>
      <c r="G26" s="17" t="s">
        <v>33</v>
      </c>
      <c r="H26" s="18" t="s">
        <v>380</v>
      </c>
      <c r="I26" s="16" t="s">
        <v>381</v>
      </c>
      <c r="J26" s="16" t="s">
        <v>382</v>
      </c>
      <c r="K26" s="16" t="s">
        <v>50</v>
      </c>
      <c r="L26" s="16" t="s">
        <v>383</v>
      </c>
      <c r="M26" s="16" t="s">
        <v>384</v>
      </c>
      <c r="N26" s="16" t="s">
        <v>385</v>
      </c>
      <c r="O26" s="16" t="s">
        <v>374</v>
      </c>
      <c r="P26" s="16" t="s">
        <v>386</v>
      </c>
      <c r="Q26" s="16" t="s">
        <v>43</v>
      </c>
      <c r="R26" s="16" t="s">
        <v>43</v>
      </c>
      <c r="S26" s="16" t="s">
        <v>43</v>
      </c>
      <c r="T26" s="16" t="s">
        <v>45</v>
      </c>
      <c r="U26" s="16" t="s">
        <v>43</v>
      </c>
      <c r="V26" s="16" t="s">
        <v>43</v>
      </c>
      <c r="W26" s="16" t="s">
        <v>43</v>
      </c>
      <c r="X26" s="16" t="s">
        <v>387</v>
      </c>
      <c r="Y26" s="16" t="s">
        <v>43</v>
      </c>
      <c r="Z26" s="16" t="s">
        <v>43</v>
      </c>
      <c r="AA26" s="16" t="s">
        <v>86</v>
      </c>
      <c r="AB26" s="16"/>
      <c r="AC26" s="16"/>
      <c r="AD26" s="16"/>
    </row>
    <row r="27">
      <c r="A27" s="15" t="s">
        <v>388</v>
      </c>
      <c r="B27" s="16" t="s">
        <v>389</v>
      </c>
      <c r="C27" s="16" t="s">
        <v>278</v>
      </c>
      <c r="D27" s="16" t="s">
        <v>279</v>
      </c>
      <c r="E27" s="16" t="s">
        <v>314</v>
      </c>
      <c r="F27" s="17" t="s">
        <v>390</v>
      </c>
      <c r="G27" s="17" t="s">
        <v>33</v>
      </c>
      <c r="H27" s="18" t="s">
        <v>391</v>
      </c>
      <c r="I27" s="16" t="s">
        <v>392</v>
      </c>
      <c r="J27" s="16" t="s">
        <v>393</v>
      </c>
      <c r="K27" s="16" t="s">
        <v>37</v>
      </c>
      <c r="L27" s="16" t="s">
        <v>394</v>
      </c>
      <c r="M27" s="16" t="s">
        <v>395</v>
      </c>
      <c r="N27" s="16" t="s">
        <v>396</v>
      </c>
      <c r="O27" s="16" t="s">
        <v>397</v>
      </c>
      <c r="P27" s="16" t="s">
        <v>398</v>
      </c>
      <c r="Q27" s="16" t="s">
        <v>399</v>
      </c>
      <c r="R27" s="16" t="s">
        <v>400</v>
      </c>
      <c r="S27" s="16" t="s">
        <v>401</v>
      </c>
      <c r="T27" s="16" t="s">
        <v>45</v>
      </c>
      <c r="U27" s="16" t="s">
        <v>43</v>
      </c>
      <c r="V27" s="16" t="s">
        <v>43</v>
      </c>
      <c r="W27" s="16" t="s">
        <v>43</v>
      </c>
      <c r="X27" s="16" t="s">
        <v>402</v>
      </c>
      <c r="Y27" s="16" t="s">
        <v>43</v>
      </c>
      <c r="Z27" s="16" t="s">
        <v>43</v>
      </c>
      <c r="AA27" s="16" t="s">
        <v>86</v>
      </c>
      <c r="AB27" s="16"/>
      <c r="AC27" s="16"/>
      <c r="AD27" s="16"/>
    </row>
    <row r="28">
      <c r="A28" s="15" t="s">
        <v>403</v>
      </c>
      <c r="B28" s="16" t="s">
        <v>404</v>
      </c>
      <c r="C28" s="16" t="s">
        <v>278</v>
      </c>
      <c r="D28" s="16" t="s">
        <v>279</v>
      </c>
      <c r="E28" s="16" t="s">
        <v>296</v>
      </c>
      <c r="F28" s="17" t="s">
        <v>405</v>
      </c>
      <c r="G28" s="17" t="s">
        <v>33</v>
      </c>
      <c r="H28" s="18" t="s">
        <v>406</v>
      </c>
      <c r="I28" s="16" t="s">
        <v>407</v>
      </c>
      <c r="J28" s="16" t="s">
        <v>408</v>
      </c>
      <c r="K28" s="16" t="s">
        <v>37</v>
      </c>
      <c r="L28" s="16" t="s">
        <v>93</v>
      </c>
      <c r="M28" s="16" t="s">
        <v>409</v>
      </c>
      <c r="N28" s="16" t="s">
        <v>410</v>
      </c>
      <c r="O28" s="16" t="s">
        <v>411</v>
      </c>
      <c r="P28" s="16" t="s">
        <v>412</v>
      </c>
      <c r="Q28" s="16" t="s">
        <v>43</v>
      </c>
      <c r="R28" s="16" t="s">
        <v>43</v>
      </c>
      <c r="S28" s="16" t="s">
        <v>43</v>
      </c>
      <c r="T28" s="16" t="s">
        <v>45</v>
      </c>
      <c r="U28" s="16" t="s">
        <v>43</v>
      </c>
      <c r="V28" s="16" t="s">
        <v>43</v>
      </c>
      <c r="W28" s="16" t="s">
        <v>43</v>
      </c>
      <c r="X28" s="16" t="s">
        <v>413</v>
      </c>
      <c r="Y28" s="16" t="s">
        <v>43</v>
      </c>
      <c r="Z28" s="16" t="s">
        <v>43</v>
      </c>
      <c r="AA28" s="16" t="s">
        <v>86</v>
      </c>
      <c r="AB28" s="16"/>
      <c r="AC28" s="16"/>
      <c r="AD28" s="16"/>
    </row>
    <row r="29">
      <c r="A29" s="15" t="s">
        <v>414</v>
      </c>
      <c r="B29" s="16" t="s">
        <v>415</v>
      </c>
      <c r="C29" s="16" t="s">
        <v>278</v>
      </c>
      <c r="D29" s="16" t="s">
        <v>279</v>
      </c>
      <c r="E29" s="16" t="s">
        <v>296</v>
      </c>
      <c r="F29" s="17" t="s">
        <v>416</v>
      </c>
      <c r="G29" s="17" t="s">
        <v>33</v>
      </c>
      <c r="H29" s="18" t="s">
        <v>417</v>
      </c>
      <c r="I29" s="16" t="s">
        <v>418</v>
      </c>
      <c r="J29" s="16" t="s">
        <v>419</v>
      </c>
      <c r="K29" s="16" t="s">
        <v>37</v>
      </c>
      <c r="L29" s="16" t="s">
        <v>93</v>
      </c>
      <c r="M29" s="16" t="s">
        <v>409</v>
      </c>
      <c r="N29" s="16" t="s">
        <v>420</v>
      </c>
      <c r="O29" s="16" t="s">
        <v>421</v>
      </c>
      <c r="P29" s="16" t="s">
        <v>422</v>
      </c>
      <c r="Q29" s="16" t="s">
        <v>43</v>
      </c>
      <c r="R29" s="16" t="s">
        <v>43</v>
      </c>
      <c r="S29" s="16" t="s">
        <v>43</v>
      </c>
      <c r="T29" s="16" t="s">
        <v>45</v>
      </c>
      <c r="U29" s="16" t="s">
        <v>43</v>
      </c>
      <c r="V29" s="16" t="s">
        <v>43</v>
      </c>
      <c r="W29" s="16" t="s">
        <v>43</v>
      </c>
      <c r="X29" s="16" t="s">
        <v>423</v>
      </c>
      <c r="Y29" s="16" t="s">
        <v>43</v>
      </c>
      <c r="Z29" s="16" t="s">
        <v>43</v>
      </c>
      <c r="AA29" s="16" t="s">
        <v>86</v>
      </c>
      <c r="AB29" s="16"/>
      <c r="AC29" s="16"/>
      <c r="AD29" s="16"/>
    </row>
    <row r="30">
      <c r="A30" s="15" t="s">
        <v>424</v>
      </c>
      <c r="B30" s="16" t="s">
        <v>425</v>
      </c>
      <c r="C30" s="16" t="s">
        <v>278</v>
      </c>
      <c r="D30" s="16" t="s">
        <v>279</v>
      </c>
      <c r="E30" s="16" t="s">
        <v>296</v>
      </c>
      <c r="F30" s="17" t="s">
        <v>426</v>
      </c>
      <c r="G30" s="17" t="s">
        <v>33</v>
      </c>
      <c r="H30" s="18" t="s">
        <v>427</v>
      </c>
      <c r="I30" s="16" t="s">
        <v>428</v>
      </c>
      <c r="J30" s="16" t="s">
        <v>429</v>
      </c>
      <c r="K30" s="16" t="s">
        <v>37</v>
      </c>
      <c r="L30" s="16" t="s">
        <v>183</v>
      </c>
      <c r="M30" s="16" t="s">
        <v>430</v>
      </c>
      <c r="N30" s="16" t="s">
        <v>431</v>
      </c>
      <c r="O30" s="16" t="s">
        <v>432</v>
      </c>
      <c r="P30" s="16" t="s">
        <v>433</v>
      </c>
      <c r="Q30" s="16" t="s">
        <v>43</v>
      </c>
      <c r="R30" s="16" t="s">
        <v>434</v>
      </c>
      <c r="S30" s="16" t="s">
        <v>43</v>
      </c>
      <c r="T30" s="16" t="s">
        <v>45</v>
      </c>
      <c r="U30" s="16" t="s">
        <v>43</v>
      </c>
      <c r="V30" s="16" t="s">
        <v>43</v>
      </c>
      <c r="W30" s="16" t="s">
        <v>43</v>
      </c>
      <c r="X30" s="16" t="s">
        <v>435</v>
      </c>
      <c r="Y30" s="16" t="s">
        <v>43</v>
      </c>
      <c r="Z30" s="16" t="s">
        <v>43</v>
      </c>
      <c r="AA30" s="16" t="s">
        <v>86</v>
      </c>
      <c r="AB30" s="16"/>
      <c r="AC30" s="16"/>
      <c r="AD30" s="16"/>
    </row>
    <row r="31">
      <c r="A31" s="15" t="s">
        <v>436</v>
      </c>
      <c r="B31" s="16" t="s">
        <v>437</v>
      </c>
      <c r="C31" s="16" t="s">
        <v>278</v>
      </c>
      <c r="D31" s="16" t="s">
        <v>279</v>
      </c>
      <c r="E31" s="16" t="s">
        <v>438</v>
      </c>
      <c r="F31" s="17" t="s">
        <v>439</v>
      </c>
      <c r="G31" s="17" t="s">
        <v>253</v>
      </c>
      <c r="H31" s="18" t="s">
        <v>440</v>
      </c>
      <c r="I31" s="16" t="s">
        <v>441</v>
      </c>
      <c r="J31" s="16" t="s">
        <v>442</v>
      </c>
      <c r="K31" s="16" t="s">
        <v>50</v>
      </c>
      <c r="L31" s="16" t="s">
        <v>383</v>
      </c>
      <c r="M31" s="16" t="s">
        <v>384</v>
      </c>
      <c r="N31" s="16" t="s">
        <v>443</v>
      </c>
      <c r="O31" s="16" t="s">
        <v>374</v>
      </c>
      <c r="P31" s="16" t="s">
        <v>444</v>
      </c>
      <c r="Q31" s="16" t="s">
        <v>43</v>
      </c>
      <c r="R31" s="16" t="s">
        <v>43</v>
      </c>
      <c r="S31" s="16" t="s">
        <v>43</v>
      </c>
      <c r="T31" s="16" t="s">
        <v>45</v>
      </c>
      <c r="U31" s="16" t="s">
        <v>43</v>
      </c>
      <c r="V31" s="16" t="s">
        <v>43</v>
      </c>
      <c r="W31" s="16" t="s">
        <v>43</v>
      </c>
      <c r="X31" s="16" t="s">
        <v>445</v>
      </c>
      <c r="Y31" s="16" t="s">
        <v>43</v>
      </c>
      <c r="Z31" s="16" t="s">
        <v>43</v>
      </c>
      <c r="AA31" s="16" t="s">
        <v>86</v>
      </c>
      <c r="AB31" s="16"/>
      <c r="AC31" s="16"/>
      <c r="AD31" s="16"/>
    </row>
    <row r="32">
      <c r="A32" s="15" t="s">
        <v>446</v>
      </c>
      <c r="B32" s="16" t="s">
        <v>447</v>
      </c>
      <c r="C32" s="16" t="s">
        <v>278</v>
      </c>
      <c r="D32" s="16" t="s">
        <v>279</v>
      </c>
      <c r="E32" s="16" t="s">
        <v>448</v>
      </c>
      <c r="F32" s="17" t="s">
        <v>449</v>
      </c>
      <c r="G32" s="17" t="s">
        <v>253</v>
      </c>
      <c r="H32" s="18" t="s">
        <v>450</v>
      </c>
      <c r="I32" s="16" t="s">
        <v>451</v>
      </c>
      <c r="J32" s="16" t="s">
        <v>452</v>
      </c>
      <c r="K32" s="16" t="s">
        <v>50</v>
      </c>
      <c r="L32" s="16" t="s">
        <v>383</v>
      </c>
      <c r="M32" s="16" t="s">
        <v>384</v>
      </c>
      <c r="N32" s="16" t="s">
        <v>453</v>
      </c>
      <c r="O32" s="16" t="s">
        <v>374</v>
      </c>
      <c r="P32" s="16" t="s">
        <v>454</v>
      </c>
      <c r="Q32" s="16" t="s">
        <v>43</v>
      </c>
      <c r="R32" s="16" t="s">
        <v>43</v>
      </c>
      <c r="S32" s="16" t="s">
        <v>43</v>
      </c>
      <c r="T32" s="16" t="s">
        <v>45</v>
      </c>
      <c r="U32" s="16" t="s">
        <v>43</v>
      </c>
      <c r="V32" s="16" t="s">
        <v>43</v>
      </c>
      <c r="W32" s="16" t="s">
        <v>43</v>
      </c>
      <c r="X32" s="16" t="s">
        <v>455</v>
      </c>
      <c r="Y32" s="16" t="s">
        <v>43</v>
      </c>
      <c r="Z32" s="16" t="s">
        <v>43</v>
      </c>
      <c r="AA32" s="16" t="s">
        <v>86</v>
      </c>
      <c r="AB32" s="16"/>
      <c r="AC32" s="16"/>
      <c r="AD32" s="16"/>
    </row>
    <row r="33">
      <c r="A33" s="15" t="s">
        <v>456</v>
      </c>
      <c r="B33" s="16" t="s">
        <v>457</v>
      </c>
      <c r="C33" s="16" t="s">
        <v>278</v>
      </c>
      <c r="D33" s="16" t="s">
        <v>279</v>
      </c>
      <c r="E33" s="16" t="s">
        <v>458</v>
      </c>
      <c r="F33" s="17" t="s">
        <v>459</v>
      </c>
      <c r="G33" s="17" t="s">
        <v>33</v>
      </c>
      <c r="H33" s="18" t="s">
        <v>460</v>
      </c>
      <c r="I33" s="16" t="s">
        <v>461</v>
      </c>
      <c r="J33" s="16" t="s">
        <v>462</v>
      </c>
      <c r="K33" s="16" t="s">
        <v>37</v>
      </c>
      <c r="L33" s="16" t="s">
        <v>463</v>
      </c>
      <c r="M33" s="16" t="s">
        <v>464</v>
      </c>
      <c r="N33" s="16" t="s">
        <v>465</v>
      </c>
      <c r="O33" s="16" t="s">
        <v>466</v>
      </c>
      <c r="P33" s="16" t="s">
        <v>467</v>
      </c>
      <c r="Q33" s="16" t="s">
        <v>468</v>
      </c>
      <c r="R33" s="16" t="s">
        <v>400</v>
      </c>
      <c r="S33" s="16" t="s">
        <v>469</v>
      </c>
      <c r="T33" s="16" t="s">
        <v>45</v>
      </c>
      <c r="U33" s="16" t="s">
        <v>43</v>
      </c>
      <c r="V33" s="16" t="s">
        <v>43</v>
      </c>
      <c r="W33" s="16" t="s">
        <v>43</v>
      </c>
      <c r="X33" s="16" t="s">
        <v>470</v>
      </c>
      <c r="Y33" s="16" t="s">
        <v>43</v>
      </c>
      <c r="Z33" s="16" t="s">
        <v>43</v>
      </c>
      <c r="AA33" s="16" t="s">
        <v>86</v>
      </c>
      <c r="AB33" s="16"/>
      <c r="AC33" s="16"/>
      <c r="AD33" s="16"/>
    </row>
    <row r="34">
      <c r="A34" s="15" t="s">
        <v>471</v>
      </c>
      <c r="B34" s="16" t="s">
        <v>472</v>
      </c>
      <c r="C34" s="16" t="s">
        <v>278</v>
      </c>
      <c r="D34" s="16" t="s">
        <v>279</v>
      </c>
      <c r="E34" s="16" t="s">
        <v>328</v>
      </c>
      <c r="F34" s="17" t="s">
        <v>473</v>
      </c>
      <c r="G34" s="17" t="s">
        <v>33</v>
      </c>
      <c r="H34" s="18" t="s">
        <v>474</v>
      </c>
      <c r="I34" s="16" t="s">
        <v>475</v>
      </c>
      <c r="J34" s="16" t="s">
        <v>476</v>
      </c>
      <c r="K34" s="16" t="s">
        <v>37</v>
      </c>
      <c r="L34" s="16" t="s">
        <v>477</v>
      </c>
      <c r="M34" s="16" t="s">
        <v>478</v>
      </c>
      <c r="N34" s="16" t="s">
        <v>479</v>
      </c>
      <c r="O34" s="16" t="s">
        <v>480</v>
      </c>
      <c r="P34" s="16" t="s">
        <v>481</v>
      </c>
      <c r="Q34" s="16" t="s">
        <v>43</v>
      </c>
      <c r="R34" s="16" t="s">
        <v>43</v>
      </c>
      <c r="S34" s="16" t="s">
        <v>43</v>
      </c>
      <c r="T34" s="16" t="s">
        <v>45</v>
      </c>
      <c r="U34" s="16" t="s">
        <v>43</v>
      </c>
      <c r="V34" s="16" t="s">
        <v>43</v>
      </c>
      <c r="W34" s="16" t="s">
        <v>43</v>
      </c>
      <c r="X34" s="16" t="s">
        <v>482</v>
      </c>
      <c r="Y34" s="16" t="s">
        <v>43</v>
      </c>
      <c r="Z34" s="16" t="s">
        <v>43</v>
      </c>
      <c r="AA34" s="16" t="s">
        <v>86</v>
      </c>
      <c r="AB34" s="16"/>
      <c r="AC34" s="16"/>
      <c r="AD34" s="16"/>
    </row>
    <row r="35">
      <c r="A35" s="15" t="s">
        <v>483</v>
      </c>
      <c r="B35" s="16" t="s">
        <v>484</v>
      </c>
      <c r="C35" s="16" t="s">
        <v>278</v>
      </c>
      <c r="D35" s="16" t="s">
        <v>279</v>
      </c>
      <c r="E35" s="16" t="s">
        <v>485</v>
      </c>
      <c r="F35" s="17" t="s">
        <v>486</v>
      </c>
      <c r="G35" s="17" t="s">
        <v>33</v>
      </c>
      <c r="H35" s="18" t="s">
        <v>487</v>
      </c>
      <c r="I35" s="16" t="s">
        <v>488</v>
      </c>
      <c r="J35" s="16" t="s">
        <v>489</v>
      </c>
      <c r="K35" s="16" t="s">
        <v>50</v>
      </c>
      <c r="L35" s="16" t="s">
        <v>383</v>
      </c>
      <c r="M35" s="16" t="s">
        <v>490</v>
      </c>
      <c r="N35" s="16" t="s">
        <v>491</v>
      </c>
      <c r="O35" s="16" t="s">
        <v>492</v>
      </c>
      <c r="P35" s="16" t="s">
        <v>493</v>
      </c>
      <c r="Q35" s="16" t="s">
        <v>43</v>
      </c>
      <c r="R35" s="16" t="s">
        <v>43</v>
      </c>
      <c r="S35" s="16" t="s">
        <v>43</v>
      </c>
      <c r="T35" s="16" t="s">
        <v>45</v>
      </c>
      <c r="U35" s="16" t="s">
        <v>43</v>
      </c>
      <c r="V35" s="16" t="s">
        <v>43</v>
      </c>
      <c r="W35" s="16" t="s">
        <v>43</v>
      </c>
      <c r="X35" s="16" t="s">
        <v>494</v>
      </c>
      <c r="Y35" s="16" t="s">
        <v>43</v>
      </c>
      <c r="Z35" s="16" t="s">
        <v>43</v>
      </c>
      <c r="AA35" s="16" t="s">
        <v>86</v>
      </c>
      <c r="AB35" s="16"/>
      <c r="AC35" s="16"/>
      <c r="AD35" s="16"/>
    </row>
    <row r="36">
      <c r="A36" s="15" t="s">
        <v>495</v>
      </c>
      <c r="B36" s="16" t="s">
        <v>496</v>
      </c>
      <c r="C36" s="16" t="s">
        <v>278</v>
      </c>
      <c r="D36" s="16" t="s">
        <v>279</v>
      </c>
      <c r="E36" s="16" t="s">
        <v>497</v>
      </c>
      <c r="F36" s="17" t="s">
        <v>498</v>
      </c>
      <c r="G36" s="17" t="s">
        <v>253</v>
      </c>
      <c r="H36" s="18" t="s">
        <v>499</v>
      </c>
      <c r="I36" s="16" t="s">
        <v>500</v>
      </c>
      <c r="J36" s="16" t="s">
        <v>501</v>
      </c>
      <c r="K36" s="16" t="s">
        <v>50</v>
      </c>
      <c r="L36" s="16" t="s">
        <v>371</v>
      </c>
      <c r="M36" s="16" t="s">
        <v>359</v>
      </c>
      <c r="N36" s="16" t="s">
        <v>502</v>
      </c>
      <c r="O36" s="16" t="s">
        <v>374</v>
      </c>
      <c r="P36" s="16" t="s">
        <v>503</v>
      </c>
      <c r="Q36" s="16" t="s">
        <v>43</v>
      </c>
      <c r="R36" s="16" t="s">
        <v>43</v>
      </c>
      <c r="S36" s="16" t="s">
        <v>43</v>
      </c>
      <c r="T36" s="16" t="s">
        <v>45</v>
      </c>
      <c r="U36" s="16" t="s">
        <v>43</v>
      </c>
      <c r="V36" s="16" t="s">
        <v>43</v>
      </c>
      <c r="W36" s="16" t="s">
        <v>43</v>
      </c>
      <c r="X36" s="16" t="s">
        <v>504</v>
      </c>
      <c r="Y36" s="16" t="s">
        <v>43</v>
      </c>
      <c r="Z36" s="16" t="s">
        <v>43</v>
      </c>
      <c r="AA36" s="16" t="s">
        <v>86</v>
      </c>
      <c r="AB36" s="16"/>
      <c r="AC36" s="16"/>
      <c r="AD36" s="16"/>
    </row>
    <row r="37">
      <c r="A37" s="15" t="s">
        <v>505</v>
      </c>
      <c r="B37" s="16" t="s">
        <v>506</v>
      </c>
      <c r="C37" s="16" t="s">
        <v>278</v>
      </c>
      <c r="D37" s="16" t="s">
        <v>279</v>
      </c>
      <c r="E37" s="16" t="s">
        <v>296</v>
      </c>
      <c r="F37" s="17" t="s">
        <v>507</v>
      </c>
      <c r="G37" s="17" t="s">
        <v>33</v>
      </c>
      <c r="H37" s="18" t="s">
        <v>508</v>
      </c>
      <c r="I37" s="16" t="s">
        <v>509</v>
      </c>
      <c r="J37" s="16" t="s">
        <v>510</v>
      </c>
      <c r="K37" s="16" t="s">
        <v>50</v>
      </c>
      <c r="L37" s="16" t="s">
        <v>371</v>
      </c>
      <c r="M37" s="16" t="s">
        <v>384</v>
      </c>
      <c r="N37" s="16" t="s">
        <v>511</v>
      </c>
      <c r="O37" s="16" t="s">
        <v>216</v>
      </c>
      <c r="P37" s="16" t="s">
        <v>512</v>
      </c>
      <c r="Q37" s="16" t="s">
        <v>43</v>
      </c>
      <c r="R37" s="16" t="s">
        <v>43</v>
      </c>
      <c r="S37" s="16" t="s">
        <v>43</v>
      </c>
      <c r="T37" s="16" t="s">
        <v>45</v>
      </c>
      <c r="U37" s="16" t="s">
        <v>43</v>
      </c>
      <c r="V37" s="16" t="s">
        <v>43</v>
      </c>
      <c r="W37" s="16" t="s">
        <v>43</v>
      </c>
      <c r="X37" s="16" t="s">
        <v>513</v>
      </c>
      <c r="Y37" s="16" t="s">
        <v>43</v>
      </c>
      <c r="Z37" s="16" t="s">
        <v>43</v>
      </c>
      <c r="AA37" s="16" t="s">
        <v>86</v>
      </c>
      <c r="AB37" s="16"/>
      <c r="AC37" s="16"/>
      <c r="AD37" s="16"/>
    </row>
    <row r="38">
      <c r="A38" s="20" t="s">
        <v>514</v>
      </c>
      <c r="B38" s="20" t="s">
        <v>515</v>
      </c>
      <c r="C38" s="20" t="s">
        <v>516</v>
      </c>
      <c r="D38" s="20" t="s">
        <v>517</v>
      </c>
      <c r="E38" s="20" t="s">
        <v>518</v>
      </c>
      <c r="F38" s="20" t="s">
        <v>519</v>
      </c>
      <c r="G38" s="20" t="s">
        <v>253</v>
      </c>
      <c r="H38" s="21" t="s">
        <v>520</v>
      </c>
      <c r="I38" s="22" t="s">
        <v>521</v>
      </c>
      <c r="J38" s="20" t="s">
        <v>522</v>
      </c>
      <c r="K38" s="20" t="s">
        <v>50</v>
      </c>
      <c r="L38" s="20" t="s">
        <v>523</v>
      </c>
      <c r="M38" s="20" t="s">
        <v>524</v>
      </c>
      <c r="N38" s="20" t="s">
        <v>525</v>
      </c>
      <c r="O38" s="20" t="s">
        <v>216</v>
      </c>
      <c r="P38" s="20" t="s">
        <v>526</v>
      </c>
      <c r="Q38" s="20" t="s">
        <v>43</v>
      </c>
      <c r="R38" s="20" t="s">
        <v>527</v>
      </c>
      <c r="S38" s="20" t="s">
        <v>43</v>
      </c>
      <c r="T38" s="20" t="s">
        <v>45</v>
      </c>
      <c r="U38" s="20" t="s">
        <v>43</v>
      </c>
      <c r="V38" s="20" t="s">
        <v>43</v>
      </c>
      <c r="W38" s="20" t="s">
        <v>43</v>
      </c>
      <c r="X38" s="20" t="s">
        <v>528</v>
      </c>
      <c r="Y38" s="20" t="s">
        <v>43</v>
      </c>
      <c r="Z38" s="20" t="s">
        <v>43</v>
      </c>
      <c r="AA38" s="20" t="s">
        <v>86</v>
      </c>
      <c r="AB38" s="20"/>
      <c r="AC38" s="23"/>
      <c r="AD38" s="23"/>
    </row>
    <row r="39">
      <c r="A39" s="20" t="s">
        <v>529</v>
      </c>
      <c r="B39" s="20" t="s">
        <v>530</v>
      </c>
      <c r="C39" s="20" t="s">
        <v>516</v>
      </c>
      <c r="D39" s="20" t="s">
        <v>517</v>
      </c>
      <c r="E39" s="20" t="s">
        <v>531</v>
      </c>
      <c r="F39" s="20" t="s">
        <v>532</v>
      </c>
      <c r="G39" s="20" t="s">
        <v>253</v>
      </c>
      <c r="H39" s="20" t="s">
        <v>533</v>
      </c>
      <c r="I39" s="20" t="s">
        <v>534</v>
      </c>
      <c r="J39" s="20" t="s">
        <v>535</v>
      </c>
      <c r="K39" s="20" t="s">
        <v>50</v>
      </c>
      <c r="L39" s="20" t="s">
        <v>536</v>
      </c>
      <c r="M39" s="20" t="s">
        <v>537</v>
      </c>
      <c r="N39" s="20" t="s">
        <v>538</v>
      </c>
      <c r="O39" s="20" t="s">
        <v>216</v>
      </c>
      <c r="P39" s="20" t="s">
        <v>539</v>
      </c>
      <c r="Q39" s="20" t="s">
        <v>43</v>
      </c>
      <c r="R39" s="20" t="s">
        <v>540</v>
      </c>
      <c r="S39" s="20" t="s">
        <v>43</v>
      </c>
      <c r="T39" s="20" t="s">
        <v>45</v>
      </c>
      <c r="U39" s="20" t="s">
        <v>43</v>
      </c>
      <c r="V39" s="20" t="s">
        <v>43</v>
      </c>
      <c r="W39" s="20" t="s">
        <v>43</v>
      </c>
      <c r="X39" s="20" t="s">
        <v>528</v>
      </c>
      <c r="Y39" s="20" t="s">
        <v>43</v>
      </c>
      <c r="Z39" s="20" t="s">
        <v>43</v>
      </c>
      <c r="AA39" s="20" t="s">
        <v>86</v>
      </c>
      <c r="AB39" s="20"/>
      <c r="AC39" s="23"/>
      <c r="AD39" s="23"/>
    </row>
    <row r="40">
      <c r="A40" s="20" t="s">
        <v>541</v>
      </c>
      <c r="B40" s="20" t="s">
        <v>542</v>
      </c>
      <c r="C40" s="20" t="s">
        <v>516</v>
      </c>
      <c r="D40" s="20" t="s">
        <v>517</v>
      </c>
      <c r="E40" s="20" t="s">
        <v>543</v>
      </c>
      <c r="F40" s="20" t="s">
        <v>544</v>
      </c>
      <c r="G40" s="20" t="s">
        <v>253</v>
      </c>
      <c r="H40" s="20" t="s">
        <v>545</v>
      </c>
      <c r="I40" s="20" t="s">
        <v>546</v>
      </c>
      <c r="J40" s="20" t="s">
        <v>547</v>
      </c>
      <c r="K40" s="20" t="s">
        <v>50</v>
      </c>
      <c r="L40" s="20" t="s">
        <v>548</v>
      </c>
      <c r="M40" s="20" t="s">
        <v>549</v>
      </c>
      <c r="N40" s="20" t="s">
        <v>550</v>
      </c>
      <c r="O40" s="20" t="s">
        <v>216</v>
      </c>
      <c r="P40" s="20" t="s">
        <v>539</v>
      </c>
      <c r="Q40" s="20" t="s">
        <v>43</v>
      </c>
      <c r="R40" s="20" t="s">
        <v>540</v>
      </c>
      <c r="S40" s="20" t="s">
        <v>43</v>
      </c>
      <c r="T40" s="20" t="s">
        <v>45</v>
      </c>
      <c r="U40" s="20" t="s">
        <v>43</v>
      </c>
      <c r="V40" s="20" t="s">
        <v>43</v>
      </c>
      <c r="W40" s="20" t="s">
        <v>43</v>
      </c>
      <c r="X40" s="20" t="s">
        <v>528</v>
      </c>
      <c r="Y40" s="20" t="s">
        <v>43</v>
      </c>
      <c r="Z40" s="20" t="s">
        <v>43</v>
      </c>
      <c r="AA40" s="20" t="s">
        <v>86</v>
      </c>
      <c r="AB40" s="20"/>
      <c r="AC40" s="23"/>
      <c r="AD40" s="23"/>
    </row>
    <row r="41">
      <c r="A41" s="24" t="s">
        <v>551</v>
      </c>
      <c r="B41" s="24" t="s">
        <v>47</v>
      </c>
      <c r="C41" s="24" t="s">
        <v>552</v>
      </c>
      <c r="D41" s="24" t="s">
        <v>553</v>
      </c>
      <c r="E41" s="24" t="s">
        <v>554</v>
      </c>
      <c r="F41" s="24" t="s">
        <v>43</v>
      </c>
      <c r="G41" s="24" t="s">
        <v>43</v>
      </c>
      <c r="H41" s="24" t="s">
        <v>43</v>
      </c>
      <c r="I41" s="25" t="s">
        <v>43</v>
      </c>
      <c r="J41" s="24" t="s">
        <v>43</v>
      </c>
      <c r="K41" s="24" t="s">
        <v>50</v>
      </c>
      <c r="L41" s="24" t="s">
        <v>43</v>
      </c>
      <c r="M41" s="26">
        <v>0.0</v>
      </c>
      <c r="N41" s="24" t="s">
        <v>555</v>
      </c>
      <c r="O41" s="24" t="s">
        <v>43</v>
      </c>
      <c r="P41" s="24" t="s">
        <v>43</v>
      </c>
      <c r="Q41" s="24" t="s">
        <v>43</v>
      </c>
      <c r="R41" s="24" t="s">
        <v>43</v>
      </c>
      <c r="S41" s="24" t="s">
        <v>43</v>
      </c>
      <c r="T41" s="24" t="s">
        <v>43</v>
      </c>
      <c r="U41" s="24" t="s">
        <v>43</v>
      </c>
      <c r="V41" s="24" t="s">
        <v>43</v>
      </c>
      <c r="W41" s="24" t="s">
        <v>43</v>
      </c>
      <c r="X41" s="24" t="s">
        <v>556</v>
      </c>
      <c r="Y41" s="24" t="s">
        <v>43</v>
      </c>
      <c r="Z41" s="24" t="s">
        <v>43</v>
      </c>
      <c r="AA41" s="24" t="s">
        <v>43</v>
      </c>
      <c r="AB41" s="24"/>
      <c r="AC41" s="24"/>
      <c r="AD41" s="24"/>
    </row>
    <row r="42">
      <c r="A42" s="27" t="s">
        <v>0</v>
      </c>
      <c r="B42" s="27" t="s">
        <v>1</v>
      </c>
      <c r="C42" s="27" t="s">
        <v>2</v>
      </c>
      <c r="D42" s="28" t="s">
        <v>557</v>
      </c>
      <c r="E42" s="27" t="s">
        <v>4</v>
      </c>
      <c r="F42" s="27" t="s">
        <v>5</v>
      </c>
      <c r="G42" s="27" t="s">
        <v>6</v>
      </c>
      <c r="H42" s="27" t="s">
        <v>7</v>
      </c>
      <c r="I42" s="27" t="s">
        <v>8</v>
      </c>
      <c r="J42" s="27" t="s">
        <v>9</v>
      </c>
      <c r="K42" s="27" t="s">
        <v>10</v>
      </c>
      <c r="L42" s="27" t="s">
        <v>11</v>
      </c>
      <c r="M42" s="27" t="s">
        <v>12</v>
      </c>
      <c r="N42" s="27" t="s">
        <v>13</v>
      </c>
      <c r="O42" s="27" t="s">
        <v>14</v>
      </c>
      <c r="P42" s="27" t="s">
        <v>15</v>
      </c>
      <c r="Q42" s="27" t="s">
        <v>16</v>
      </c>
      <c r="R42" s="27" t="s">
        <v>17</v>
      </c>
      <c r="S42" s="27" t="s">
        <v>18</v>
      </c>
      <c r="T42" s="27" t="s">
        <v>19</v>
      </c>
      <c r="U42" s="27" t="s">
        <v>20</v>
      </c>
      <c r="V42" s="27" t="s">
        <v>21</v>
      </c>
      <c r="W42" s="27" t="s">
        <v>22</v>
      </c>
      <c r="X42" s="27" t="s">
        <v>23</v>
      </c>
      <c r="Y42" s="27" t="s">
        <v>24</v>
      </c>
      <c r="Z42" s="27" t="s">
        <v>25</v>
      </c>
      <c r="AA42" s="27" t="s">
        <v>26</v>
      </c>
      <c r="AB42" s="23"/>
      <c r="AC42" s="23"/>
      <c r="AD42" s="29"/>
    </row>
    <row r="43">
      <c r="A43" s="27" t="s">
        <v>558</v>
      </c>
      <c r="B43" s="27" t="s">
        <v>559</v>
      </c>
      <c r="C43" s="27" t="s">
        <v>560</v>
      </c>
      <c r="D43" s="28" t="s">
        <v>557</v>
      </c>
      <c r="E43" s="27" t="s">
        <v>561</v>
      </c>
      <c r="F43" s="27" t="s">
        <v>562</v>
      </c>
      <c r="G43" s="27" t="s">
        <v>253</v>
      </c>
      <c r="H43" s="30" t="s">
        <v>563</v>
      </c>
      <c r="I43" s="27"/>
      <c r="J43" s="27" t="s">
        <v>564</v>
      </c>
      <c r="K43" s="27" t="s">
        <v>50</v>
      </c>
      <c r="L43" s="27" t="s">
        <v>565</v>
      </c>
      <c r="M43" s="27"/>
      <c r="N43" s="27"/>
      <c r="O43" s="27"/>
      <c r="P43" s="27"/>
      <c r="Q43" s="27"/>
      <c r="R43" s="27"/>
      <c r="S43" s="27"/>
      <c r="T43" s="27" t="s">
        <v>45</v>
      </c>
      <c r="U43" s="27"/>
      <c r="V43" s="27"/>
      <c r="W43" s="27" t="s">
        <v>566</v>
      </c>
      <c r="X43" s="27"/>
      <c r="Y43" s="27"/>
      <c r="Z43" s="27" t="s">
        <v>567</v>
      </c>
      <c r="AA43" s="27" t="s">
        <v>568</v>
      </c>
      <c r="AB43" s="23"/>
      <c r="AC43" s="23"/>
      <c r="AD43" s="29"/>
    </row>
    <row r="44">
      <c r="A44" s="27" t="s">
        <v>569</v>
      </c>
      <c r="B44" s="27" t="s">
        <v>570</v>
      </c>
      <c r="C44" s="27" t="s">
        <v>560</v>
      </c>
      <c r="D44" s="28" t="s">
        <v>557</v>
      </c>
      <c r="E44" s="27" t="s">
        <v>571</v>
      </c>
      <c r="F44" s="27" t="s">
        <v>572</v>
      </c>
      <c r="G44" s="27" t="s">
        <v>33</v>
      </c>
      <c r="H44" s="30" t="s">
        <v>573</v>
      </c>
      <c r="I44" s="27"/>
      <c r="J44" s="27" t="s">
        <v>574</v>
      </c>
      <c r="K44" s="27" t="s">
        <v>37</v>
      </c>
      <c r="L44" s="27" t="s">
        <v>575</v>
      </c>
      <c r="M44" s="27" t="s">
        <v>576</v>
      </c>
      <c r="N44" s="27" t="s">
        <v>577</v>
      </c>
      <c r="O44" s="27"/>
      <c r="P44" s="27"/>
      <c r="Q44" s="27"/>
      <c r="R44" s="27"/>
      <c r="S44" s="27"/>
      <c r="T44" s="27" t="s">
        <v>578</v>
      </c>
      <c r="U44" s="27" t="s">
        <v>70</v>
      </c>
      <c r="V44" s="27"/>
      <c r="W44" s="27" t="s">
        <v>37</v>
      </c>
      <c r="X44" s="27"/>
      <c r="Y44" s="27"/>
      <c r="Z44" s="27" t="s">
        <v>567</v>
      </c>
      <c r="AA44" s="27" t="s">
        <v>579</v>
      </c>
      <c r="AB44" s="23"/>
      <c r="AC44" s="23"/>
      <c r="AD44" s="29"/>
    </row>
    <row r="45">
      <c r="A45" s="27" t="s">
        <v>580</v>
      </c>
      <c r="B45" s="27" t="s">
        <v>581</v>
      </c>
      <c r="C45" s="27" t="s">
        <v>560</v>
      </c>
      <c r="D45" s="28" t="s">
        <v>557</v>
      </c>
      <c r="E45" s="27" t="s">
        <v>571</v>
      </c>
      <c r="F45" s="27" t="s">
        <v>582</v>
      </c>
      <c r="G45" s="27" t="s">
        <v>253</v>
      </c>
      <c r="H45" s="30" t="s">
        <v>583</v>
      </c>
      <c r="I45" s="27"/>
      <c r="J45" s="27" t="s">
        <v>584</v>
      </c>
      <c r="K45" s="27" t="s">
        <v>50</v>
      </c>
      <c r="L45" s="27" t="s">
        <v>565</v>
      </c>
      <c r="M45" s="27"/>
      <c r="N45" s="27"/>
      <c r="O45" s="27"/>
      <c r="P45" s="27"/>
      <c r="Q45" s="27"/>
      <c r="R45" s="27"/>
      <c r="S45" s="27"/>
      <c r="T45" s="27" t="s">
        <v>69</v>
      </c>
      <c r="U45" s="27" t="s">
        <v>70</v>
      </c>
      <c r="V45" s="27"/>
      <c r="W45" s="27" t="s">
        <v>566</v>
      </c>
      <c r="X45" s="27"/>
      <c r="Y45" s="27"/>
      <c r="Z45" s="27" t="s">
        <v>567</v>
      </c>
      <c r="AA45" s="27" t="s">
        <v>568</v>
      </c>
      <c r="AB45" s="23"/>
      <c r="AC45" s="23"/>
      <c r="AD45" s="29"/>
    </row>
    <row r="46">
      <c r="A46" s="27" t="s">
        <v>585</v>
      </c>
      <c r="B46" s="27" t="s">
        <v>586</v>
      </c>
      <c r="C46" s="27" t="s">
        <v>560</v>
      </c>
      <c r="D46" s="28" t="s">
        <v>557</v>
      </c>
      <c r="E46" s="27" t="s">
        <v>571</v>
      </c>
      <c r="F46" s="27" t="s">
        <v>587</v>
      </c>
      <c r="G46" s="27" t="s">
        <v>253</v>
      </c>
      <c r="H46" s="30" t="s">
        <v>588</v>
      </c>
      <c r="I46" s="27"/>
      <c r="J46" s="27" t="s">
        <v>589</v>
      </c>
      <c r="K46" s="27" t="s">
        <v>50</v>
      </c>
      <c r="L46" s="27" t="s">
        <v>565</v>
      </c>
      <c r="M46" s="27"/>
      <c r="N46" s="27"/>
      <c r="O46" s="27"/>
      <c r="P46" s="27"/>
      <c r="Q46" s="27"/>
      <c r="R46" s="27"/>
      <c r="S46" s="27"/>
      <c r="T46" s="27" t="s">
        <v>45</v>
      </c>
      <c r="U46" s="27"/>
      <c r="V46" s="27"/>
      <c r="W46" s="27" t="s">
        <v>566</v>
      </c>
      <c r="X46" s="27"/>
      <c r="Y46" s="27"/>
      <c r="Z46" s="27" t="s">
        <v>567</v>
      </c>
      <c r="AA46" s="27" t="s">
        <v>568</v>
      </c>
      <c r="AB46" s="23"/>
      <c r="AC46" s="23"/>
      <c r="AD46" s="29"/>
    </row>
    <row r="47">
      <c r="A47" s="27" t="s">
        <v>590</v>
      </c>
      <c r="B47" s="27" t="s">
        <v>591</v>
      </c>
      <c r="C47" s="27" t="s">
        <v>560</v>
      </c>
      <c r="D47" s="28" t="s">
        <v>557</v>
      </c>
      <c r="E47" s="27" t="s">
        <v>592</v>
      </c>
      <c r="F47" s="27" t="s">
        <v>593</v>
      </c>
      <c r="G47" s="27" t="s">
        <v>33</v>
      </c>
      <c r="H47" s="30" t="s">
        <v>594</v>
      </c>
      <c r="I47" s="27"/>
      <c r="J47" s="27" t="s">
        <v>595</v>
      </c>
      <c r="K47" s="27" t="s">
        <v>37</v>
      </c>
      <c r="L47" s="27" t="s">
        <v>596</v>
      </c>
      <c r="M47" s="27"/>
      <c r="N47" s="27"/>
      <c r="O47" s="27"/>
      <c r="P47" s="27"/>
      <c r="Q47" s="27"/>
      <c r="R47" s="27"/>
      <c r="S47" s="27"/>
      <c r="T47" s="27" t="s">
        <v>578</v>
      </c>
      <c r="U47" s="27" t="s">
        <v>70</v>
      </c>
      <c r="V47" s="27"/>
      <c r="W47" s="27" t="s">
        <v>37</v>
      </c>
      <c r="X47" s="28" t="s">
        <v>597</v>
      </c>
      <c r="Y47" s="27"/>
      <c r="Z47" s="27" t="s">
        <v>567</v>
      </c>
      <c r="AA47" s="27" t="s">
        <v>579</v>
      </c>
      <c r="AB47" s="23"/>
      <c r="AC47" s="23"/>
      <c r="AD47" s="29"/>
    </row>
    <row r="48">
      <c r="A48" s="27" t="s">
        <v>598</v>
      </c>
      <c r="B48" s="27" t="s">
        <v>599</v>
      </c>
      <c r="C48" s="27" t="s">
        <v>560</v>
      </c>
      <c r="D48" s="28" t="s">
        <v>557</v>
      </c>
      <c r="E48" s="27" t="s">
        <v>600</v>
      </c>
      <c r="F48" s="27" t="s">
        <v>601</v>
      </c>
      <c r="G48" s="27" t="s">
        <v>58</v>
      </c>
      <c r="H48" s="30" t="s">
        <v>602</v>
      </c>
      <c r="I48" s="27"/>
      <c r="J48" s="27" t="s">
        <v>603</v>
      </c>
      <c r="K48" s="27" t="s">
        <v>37</v>
      </c>
      <c r="L48" s="27" t="s">
        <v>93</v>
      </c>
      <c r="M48" s="27" t="s">
        <v>604</v>
      </c>
      <c r="N48" s="27" t="s">
        <v>605</v>
      </c>
      <c r="O48" s="27"/>
      <c r="P48" s="27"/>
      <c r="Q48" s="27"/>
      <c r="R48" s="27"/>
      <c r="S48" s="27"/>
      <c r="T48" s="27" t="s">
        <v>578</v>
      </c>
      <c r="U48" s="27" t="s">
        <v>70</v>
      </c>
      <c r="V48" s="27"/>
      <c r="W48" s="27" t="s">
        <v>37</v>
      </c>
      <c r="X48" s="28" t="s">
        <v>606</v>
      </c>
      <c r="Y48" s="27"/>
      <c r="Z48" s="27" t="s">
        <v>567</v>
      </c>
      <c r="AA48" s="27" t="s">
        <v>607</v>
      </c>
      <c r="AB48" s="23"/>
      <c r="AC48" s="23"/>
      <c r="AD48" s="29"/>
    </row>
    <row r="49">
      <c r="A49" s="27" t="s">
        <v>608</v>
      </c>
      <c r="B49" s="27" t="s">
        <v>609</v>
      </c>
      <c r="C49" s="27" t="s">
        <v>560</v>
      </c>
      <c r="D49" s="28" t="s">
        <v>557</v>
      </c>
      <c r="E49" s="27" t="s">
        <v>610</v>
      </c>
      <c r="F49" s="27" t="s">
        <v>611</v>
      </c>
      <c r="G49" s="27" t="s">
        <v>253</v>
      </c>
      <c r="H49" s="30" t="s">
        <v>612</v>
      </c>
      <c r="I49" s="27"/>
      <c r="J49" s="27" t="s">
        <v>613</v>
      </c>
      <c r="K49" s="27" t="s">
        <v>50</v>
      </c>
      <c r="L49" s="27" t="s">
        <v>614</v>
      </c>
      <c r="M49" s="27"/>
      <c r="N49" s="27"/>
      <c r="O49" s="27"/>
      <c r="P49" s="27" t="s">
        <v>615</v>
      </c>
      <c r="Q49" s="27"/>
      <c r="R49" s="27"/>
      <c r="S49" s="27"/>
      <c r="T49" s="27" t="s">
        <v>45</v>
      </c>
      <c r="U49" s="27"/>
      <c r="V49" s="27"/>
      <c r="W49" s="27" t="s">
        <v>566</v>
      </c>
      <c r="X49" s="27"/>
      <c r="Y49" s="27"/>
      <c r="Z49" s="27" t="s">
        <v>567</v>
      </c>
      <c r="AA49" s="27" t="s">
        <v>568</v>
      </c>
      <c r="AB49" s="23"/>
      <c r="AC49" s="23"/>
      <c r="AD49" s="29"/>
    </row>
    <row r="50">
      <c r="A50" s="27" t="s">
        <v>616</v>
      </c>
      <c r="B50" s="27" t="s">
        <v>617</v>
      </c>
      <c r="C50" s="27" t="s">
        <v>560</v>
      </c>
      <c r="D50" s="28" t="s">
        <v>557</v>
      </c>
      <c r="E50" s="27" t="s">
        <v>610</v>
      </c>
      <c r="F50" s="27" t="s">
        <v>618</v>
      </c>
      <c r="G50" s="27" t="s">
        <v>253</v>
      </c>
      <c r="H50" s="30" t="s">
        <v>619</v>
      </c>
      <c r="I50" s="27"/>
      <c r="J50" s="27" t="s">
        <v>620</v>
      </c>
      <c r="K50" s="27" t="s">
        <v>50</v>
      </c>
      <c r="L50" s="27" t="s">
        <v>621</v>
      </c>
      <c r="M50" s="27"/>
      <c r="N50" s="27"/>
      <c r="O50" s="27"/>
      <c r="P50" s="27" t="s">
        <v>622</v>
      </c>
      <c r="Q50" s="27"/>
      <c r="R50" s="27"/>
      <c r="S50" s="27"/>
      <c r="T50" s="27" t="s">
        <v>45</v>
      </c>
      <c r="U50" s="27"/>
      <c r="V50" s="27"/>
      <c r="W50" s="27" t="s">
        <v>566</v>
      </c>
      <c r="X50" s="27"/>
      <c r="Y50" s="27"/>
      <c r="Z50" s="27" t="s">
        <v>567</v>
      </c>
      <c r="AA50" s="27" t="s">
        <v>568</v>
      </c>
      <c r="AB50" s="23"/>
      <c r="AC50" s="23"/>
      <c r="AD50" s="29"/>
    </row>
    <row r="51">
      <c r="A51" s="27" t="s">
        <v>623</v>
      </c>
      <c r="B51" s="27" t="s">
        <v>624</v>
      </c>
      <c r="C51" s="27" t="s">
        <v>560</v>
      </c>
      <c r="D51" s="28" t="s">
        <v>557</v>
      </c>
      <c r="E51" s="27" t="s">
        <v>625</v>
      </c>
      <c r="F51" s="27" t="s">
        <v>626</v>
      </c>
      <c r="G51" s="27" t="s">
        <v>253</v>
      </c>
      <c r="H51" s="30" t="s">
        <v>627</v>
      </c>
      <c r="I51" s="27"/>
      <c r="J51" s="27" t="s">
        <v>628</v>
      </c>
      <c r="K51" s="27" t="s">
        <v>50</v>
      </c>
      <c r="L51" s="27" t="s">
        <v>565</v>
      </c>
      <c r="M51" s="27"/>
      <c r="N51" s="27"/>
      <c r="O51" s="27"/>
      <c r="P51" s="27"/>
      <c r="Q51" s="27"/>
      <c r="R51" s="27"/>
      <c r="S51" s="27"/>
      <c r="T51" s="27" t="s">
        <v>45</v>
      </c>
      <c r="U51" s="27"/>
      <c r="V51" s="27"/>
      <c r="W51" s="27" t="s">
        <v>566</v>
      </c>
      <c r="X51" s="27"/>
      <c r="Y51" s="27"/>
      <c r="Z51" s="27" t="s">
        <v>567</v>
      </c>
      <c r="AA51" s="27" t="s">
        <v>568</v>
      </c>
      <c r="AB51" s="23"/>
      <c r="AC51" s="23"/>
      <c r="AD51" s="29"/>
    </row>
    <row r="52">
      <c r="A52" s="27" t="s">
        <v>629</v>
      </c>
      <c r="B52" s="27" t="s">
        <v>630</v>
      </c>
      <c r="C52" s="27" t="s">
        <v>560</v>
      </c>
      <c r="D52" s="28" t="s">
        <v>557</v>
      </c>
      <c r="E52" s="27" t="s">
        <v>600</v>
      </c>
      <c r="F52" s="27" t="s">
        <v>631</v>
      </c>
      <c r="G52" s="27" t="s">
        <v>58</v>
      </c>
      <c r="H52" s="30" t="s">
        <v>632</v>
      </c>
      <c r="I52" s="27"/>
      <c r="J52" s="27" t="s">
        <v>633</v>
      </c>
      <c r="K52" s="27" t="s">
        <v>37</v>
      </c>
      <c r="L52" s="27" t="s">
        <v>358</v>
      </c>
      <c r="M52" s="27"/>
      <c r="N52" s="27"/>
      <c r="O52" s="27"/>
      <c r="P52" s="27"/>
      <c r="Q52" s="27"/>
      <c r="R52" s="27"/>
      <c r="S52" s="27"/>
      <c r="T52" s="27" t="s">
        <v>69</v>
      </c>
      <c r="U52" s="27" t="s">
        <v>70</v>
      </c>
      <c r="V52" s="27"/>
      <c r="W52" s="27" t="s">
        <v>566</v>
      </c>
      <c r="X52" s="28" t="s">
        <v>634</v>
      </c>
      <c r="Y52" s="27"/>
      <c r="Z52" s="27" t="s">
        <v>567</v>
      </c>
      <c r="AA52" s="27" t="s">
        <v>607</v>
      </c>
      <c r="AB52" s="23"/>
      <c r="AC52" s="23"/>
      <c r="AD52" s="29"/>
    </row>
    <row r="53">
      <c r="A53" s="27" t="s">
        <v>635</v>
      </c>
      <c r="B53" s="27" t="s">
        <v>636</v>
      </c>
      <c r="C53" s="27" t="s">
        <v>560</v>
      </c>
      <c r="D53" s="28" t="s">
        <v>557</v>
      </c>
      <c r="E53" s="27" t="s">
        <v>637</v>
      </c>
      <c r="F53" s="27" t="s">
        <v>638</v>
      </c>
      <c r="G53" s="27" t="s">
        <v>253</v>
      </c>
      <c r="H53" s="30" t="s">
        <v>639</v>
      </c>
      <c r="I53" s="27"/>
      <c r="J53" s="27" t="s">
        <v>640</v>
      </c>
      <c r="K53" s="27" t="s">
        <v>50</v>
      </c>
      <c r="L53" s="27" t="s">
        <v>565</v>
      </c>
      <c r="M53" s="27"/>
      <c r="N53" s="27"/>
      <c r="O53" s="27"/>
      <c r="P53" s="27"/>
      <c r="Q53" s="27"/>
      <c r="R53" s="27"/>
      <c r="S53" s="27"/>
      <c r="T53" s="27" t="s">
        <v>45</v>
      </c>
      <c r="U53" s="27"/>
      <c r="V53" s="27"/>
      <c r="W53" s="27" t="s">
        <v>566</v>
      </c>
      <c r="X53" s="27"/>
      <c r="Y53" s="27"/>
      <c r="Z53" s="27" t="s">
        <v>567</v>
      </c>
      <c r="AA53" s="27" t="s">
        <v>568</v>
      </c>
      <c r="AB53" s="23"/>
      <c r="AC53" s="23"/>
      <c r="AD53" s="29"/>
    </row>
    <row r="54">
      <c r="A54" s="27" t="s">
        <v>641</v>
      </c>
      <c r="B54" s="27" t="s">
        <v>642</v>
      </c>
      <c r="C54" s="27" t="s">
        <v>560</v>
      </c>
      <c r="D54" s="28" t="s">
        <v>557</v>
      </c>
      <c r="E54" s="27" t="s">
        <v>643</v>
      </c>
      <c r="F54" s="27" t="s">
        <v>644</v>
      </c>
      <c r="G54" s="27" t="s">
        <v>253</v>
      </c>
      <c r="H54" s="30" t="s">
        <v>645</v>
      </c>
      <c r="I54" s="27"/>
      <c r="J54" s="27" t="s">
        <v>646</v>
      </c>
      <c r="K54" s="27" t="s">
        <v>50</v>
      </c>
      <c r="L54" s="27" t="s">
        <v>565</v>
      </c>
      <c r="M54" s="27"/>
      <c r="N54" s="27"/>
      <c r="O54" s="27"/>
      <c r="P54" s="27"/>
      <c r="Q54" s="27"/>
      <c r="R54" s="27"/>
      <c r="S54" s="27"/>
      <c r="T54" s="27" t="s">
        <v>45</v>
      </c>
      <c r="U54" s="27"/>
      <c r="V54" s="27"/>
      <c r="W54" s="27" t="s">
        <v>566</v>
      </c>
      <c r="X54" s="27"/>
      <c r="Y54" s="27"/>
      <c r="Z54" s="27" t="s">
        <v>567</v>
      </c>
      <c r="AA54" s="27" t="s">
        <v>568</v>
      </c>
      <c r="AB54" s="23"/>
      <c r="AC54" s="23"/>
      <c r="AD54" s="29"/>
    </row>
    <row r="55">
      <c r="A55" s="27" t="s">
        <v>647</v>
      </c>
      <c r="B55" s="27" t="s">
        <v>648</v>
      </c>
      <c r="C55" s="27" t="s">
        <v>560</v>
      </c>
      <c r="D55" s="28" t="s">
        <v>557</v>
      </c>
      <c r="E55" s="27" t="s">
        <v>649</v>
      </c>
      <c r="F55" s="27" t="s">
        <v>650</v>
      </c>
      <c r="G55" s="27" t="s">
        <v>33</v>
      </c>
      <c r="H55" s="30" t="s">
        <v>651</v>
      </c>
      <c r="I55" s="27"/>
      <c r="J55" s="27" t="s">
        <v>652</v>
      </c>
      <c r="K55" s="27" t="s">
        <v>37</v>
      </c>
      <c r="L55" s="27" t="s">
        <v>596</v>
      </c>
      <c r="M55" s="27"/>
      <c r="N55" s="27"/>
      <c r="O55" s="27"/>
      <c r="P55" s="27"/>
      <c r="Q55" s="27"/>
      <c r="R55" s="27"/>
      <c r="S55" s="27"/>
      <c r="T55" s="27" t="s">
        <v>45</v>
      </c>
      <c r="U55" s="27"/>
      <c r="V55" s="27"/>
      <c r="W55" s="27" t="s">
        <v>566</v>
      </c>
      <c r="X55" s="28" t="s">
        <v>597</v>
      </c>
      <c r="Y55" s="27"/>
      <c r="Z55" s="27" t="s">
        <v>567</v>
      </c>
      <c r="AA55" s="27" t="s">
        <v>653</v>
      </c>
      <c r="AB55" s="23"/>
      <c r="AC55" s="23"/>
      <c r="AD55" s="29"/>
    </row>
    <row r="56">
      <c r="A56" s="27" t="s">
        <v>654</v>
      </c>
      <c r="B56" s="27" t="s">
        <v>655</v>
      </c>
      <c r="C56" s="27" t="s">
        <v>560</v>
      </c>
      <c r="D56" s="28" t="s">
        <v>557</v>
      </c>
      <c r="E56" s="27" t="s">
        <v>561</v>
      </c>
      <c r="F56" s="27" t="s">
        <v>656</v>
      </c>
      <c r="G56" s="27" t="s">
        <v>253</v>
      </c>
      <c r="H56" s="30" t="s">
        <v>657</v>
      </c>
      <c r="I56" s="27"/>
      <c r="J56" s="27" t="s">
        <v>658</v>
      </c>
      <c r="K56" s="27" t="s">
        <v>50</v>
      </c>
      <c r="L56" s="27" t="s">
        <v>565</v>
      </c>
      <c r="M56" s="27"/>
      <c r="N56" s="27"/>
      <c r="O56" s="27"/>
      <c r="P56" s="27"/>
      <c r="Q56" s="27"/>
      <c r="R56" s="27"/>
      <c r="S56" s="27"/>
      <c r="T56" s="27" t="s">
        <v>45</v>
      </c>
      <c r="U56" s="27"/>
      <c r="V56" s="27"/>
      <c r="W56" s="27" t="s">
        <v>566</v>
      </c>
      <c r="X56" s="28" t="s">
        <v>597</v>
      </c>
      <c r="Y56" s="27"/>
      <c r="Z56" s="27" t="s">
        <v>567</v>
      </c>
      <c r="AA56" s="27" t="s">
        <v>568</v>
      </c>
      <c r="AB56" s="23"/>
      <c r="AC56" s="23"/>
      <c r="AD56" s="29"/>
    </row>
    <row r="57">
      <c r="A57" s="27" t="s">
        <v>659</v>
      </c>
      <c r="B57" s="27" t="s">
        <v>660</v>
      </c>
      <c r="C57" s="27" t="s">
        <v>560</v>
      </c>
      <c r="D57" s="28" t="s">
        <v>557</v>
      </c>
      <c r="E57" s="27" t="s">
        <v>661</v>
      </c>
      <c r="F57" s="27" t="s">
        <v>662</v>
      </c>
      <c r="G57" s="27" t="s">
        <v>58</v>
      </c>
      <c r="H57" s="30" t="s">
        <v>663</v>
      </c>
      <c r="I57" s="27"/>
      <c r="J57" s="27" t="s">
        <v>664</v>
      </c>
      <c r="K57" s="27" t="s">
        <v>37</v>
      </c>
      <c r="L57" s="27" t="s">
        <v>665</v>
      </c>
      <c r="M57" s="27"/>
      <c r="N57" s="27"/>
      <c r="O57" s="27"/>
      <c r="P57" s="27" t="s">
        <v>666</v>
      </c>
      <c r="Q57" s="27"/>
      <c r="R57" s="27"/>
      <c r="S57" s="27"/>
      <c r="T57" s="27" t="s">
        <v>69</v>
      </c>
      <c r="U57" s="27" t="s">
        <v>70</v>
      </c>
      <c r="V57" s="27"/>
      <c r="W57" s="27" t="s">
        <v>566</v>
      </c>
      <c r="X57" s="28" t="s">
        <v>597</v>
      </c>
      <c r="Y57" s="27"/>
      <c r="Z57" s="27" t="s">
        <v>567</v>
      </c>
      <c r="AA57" s="27" t="s">
        <v>607</v>
      </c>
      <c r="AB57" s="23"/>
      <c r="AC57" s="23"/>
      <c r="AD57" s="29"/>
    </row>
    <row r="58">
      <c r="A58" s="27" t="s">
        <v>667</v>
      </c>
      <c r="B58" s="27" t="s">
        <v>668</v>
      </c>
      <c r="C58" s="27" t="s">
        <v>560</v>
      </c>
      <c r="D58" s="28" t="s">
        <v>557</v>
      </c>
      <c r="E58" s="27" t="s">
        <v>669</v>
      </c>
      <c r="F58" s="27" t="s">
        <v>670</v>
      </c>
      <c r="G58" s="27" t="s">
        <v>253</v>
      </c>
      <c r="H58" s="30" t="s">
        <v>671</v>
      </c>
      <c r="I58" s="27"/>
      <c r="J58" s="27" t="s">
        <v>672</v>
      </c>
      <c r="K58" s="27" t="s">
        <v>50</v>
      </c>
      <c r="L58" s="27" t="s">
        <v>565</v>
      </c>
      <c r="M58" s="27"/>
      <c r="N58" s="27"/>
      <c r="O58" s="27"/>
      <c r="P58" s="27"/>
      <c r="Q58" s="27"/>
      <c r="R58" s="27"/>
      <c r="S58" s="27"/>
      <c r="T58" s="27" t="s">
        <v>45</v>
      </c>
      <c r="U58" s="27"/>
      <c r="V58" s="27"/>
      <c r="W58" s="27" t="s">
        <v>566</v>
      </c>
      <c r="X58" s="28" t="s">
        <v>597</v>
      </c>
      <c r="Y58" s="27"/>
      <c r="Z58" s="27" t="s">
        <v>567</v>
      </c>
      <c r="AA58" s="27" t="s">
        <v>568</v>
      </c>
      <c r="AB58" s="23"/>
      <c r="AC58" s="23"/>
      <c r="AD58" s="29"/>
    </row>
    <row r="59">
      <c r="A59" s="27" t="s">
        <v>673</v>
      </c>
      <c r="B59" s="27" t="s">
        <v>674</v>
      </c>
      <c r="C59" s="27" t="s">
        <v>560</v>
      </c>
      <c r="D59" s="28" t="s">
        <v>557</v>
      </c>
      <c r="E59" s="27" t="s">
        <v>600</v>
      </c>
      <c r="F59" s="27" t="s">
        <v>675</v>
      </c>
      <c r="G59" s="27" t="s">
        <v>253</v>
      </c>
      <c r="H59" s="30" t="s">
        <v>676</v>
      </c>
      <c r="I59" s="27"/>
      <c r="J59" s="27" t="s">
        <v>677</v>
      </c>
      <c r="K59" s="27" t="s">
        <v>50</v>
      </c>
      <c r="L59" s="27" t="s">
        <v>565</v>
      </c>
      <c r="M59" s="27"/>
      <c r="N59" s="27"/>
      <c r="O59" s="27"/>
      <c r="P59" s="27"/>
      <c r="Q59" s="27"/>
      <c r="R59" s="27"/>
      <c r="S59" s="27"/>
      <c r="T59" s="27" t="s">
        <v>45</v>
      </c>
      <c r="U59" s="27"/>
      <c r="V59" s="27"/>
      <c r="W59" s="27" t="s">
        <v>566</v>
      </c>
      <c r="X59" s="27"/>
      <c r="Y59" s="27"/>
      <c r="Z59" s="27" t="s">
        <v>567</v>
      </c>
      <c r="AA59" s="27" t="s">
        <v>568</v>
      </c>
      <c r="AB59" s="23"/>
      <c r="AC59" s="23"/>
      <c r="AD59" s="29"/>
    </row>
    <row r="60">
      <c r="A60" s="27" t="s">
        <v>678</v>
      </c>
      <c r="B60" s="27" t="s">
        <v>679</v>
      </c>
      <c r="C60" s="27" t="s">
        <v>560</v>
      </c>
      <c r="D60" s="28" t="s">
        <v>557</v>
      </c>
      <c r="E60" s="27" t="s">
        <v>643</v>
      </c>
      <c r="F60" s="27" t="s">
        <v>680</v>
      </c>
      <c r="G60" s="27" t="s">
        <v>33</v>
      </c>
      <c r="H60" s="30" t="s">
        <v>681</v>
      </c>
      <c r="I60" s="27"/>
      <c r="J60" s="27" t="s">
        <v>682</v>
      </c>
      <c r="K60" s="27" t="s">
        <v>37</v>
      </c>
      <c r="L60" s="27" t="s">
        <v>93</v>
      </c>
      <c r="M60" s="27"/>
      <c r="N60" s="27"/>
      <c r="O60" s="27"/>
      <c r="P60" s="27"/>
      <c r="Q60" s="27"/>
      <c r="R60" s="27"/>
      <c r="S60" s="27"/>
      <c r="T60" s="27" t="s">
        <v>45</v>
      </c>
      <c r="U60" s="27"/>
      <c r="V60" s="27"/>
      <c r="W60" s="27" t="s">
        <v>566</v>
      </c>
      <c r="X60" s="27"/>
      <c r="Y60" s="27"/>
      <c r="Z60" s="27" t="s">
        <v>567</v>
      </c>
      <c r="AA60" s="27" t="s">
        <v>653</v>
      </c>
      <c r="AB60" s="23"/>
      <c r="AC60" s="23"/>
      <c r="AD60" s="29"/>
    </row>
    <row r="61">
      <c r="A61" s="27" t="s">
        <v>683</v>
      </c>
      <c r="B61" s="27" t="s">
        <v>684</v>
      </c>
      <c r="C61" s="27" t="s">
        <v>560</v>
      </c>
      <c r="D61" s="28" t="s">
        <v>557</v>
      </c>
      <c r="E61" s="27" t="s">
        <v>685</v>
      </c>
      <c r="F61" s="27" t="s">
        <v>686</v>
      </c>
      <c r="G61" s="27" t="s">
        <v>253</v>
      </c>
      <c r="H61" s="30" t="s">
        <v>687</v>
      </c>
      <c r="I61" s="27"/>
      <c r="J61" s="27" t="s">
        <v>688</v>
      </c>
      <c r="K61" s="27" t="s">
        <v>50</v>
      </c>
      <c r="L61" s="27" t="s">
        <v>565</v>
      </c>
      <c r="M61" s="27"/>
      <c r="N61" s="27"/>
      <c r="O61" s="27"/>
      <c r="P61" s="27"/>
      <c r="Q61" s="27"/>
      <c r="R61" s="27"/>
      <c r="S61" s="27"/>
      <c r="T61" s="27" t="s">
        <v>45</v>
      </c>
      <c r="U61" s="27"/>
      <c r="V61" s="27"/>
      <c r="W61" s="27" t="s">
        <v>566</v>
      </c>
      <c r="X61" s="28" t="s">
        <v>597</v>
      </c>
      <c r="Y61" s="27"/>
      <c r="Z61" s="27" t="s">
        <v>567</v>
      </c>
      <c r="AA61" s="27" t="s">
        <v>568</v>
      </c>
      <c r="AB61" s="23"/>
      <c r="AC61" s="23"/>
      <c r="AD61" s="29"/>
    </row>
    <row r="62">
      <c r="A62" s="27" t="s">
        <v>689</v>
      </c>
      <c r="B62" s="27" t="s">
        <v>690</v>
      </c>
      <c r="C62" s="27" t="s">
        <v>560</v>
      </c>
      <c r="D62" s="28" t="s">
        <v>557</v>
      </c>
      <c r="E62" s="27" t="s">
        <v>691</v>
      </c>
      <c r="F62" s="27" t="s">
        <v>692</v>
      </c>
      <c r="G62" s="27" t="s">
        <v>253</v>
      </c>
      <c r="H62" s="30" t="s">
        <v>693</v>
      </c>
      <c r="I62" s="27"/>
      <c r="J62" s="27" t="s">
        <v>694</v>
      </c>
      <c r="K62" s="27" t="s">
        <v>50</v>
      </c>
      <c r="L62" s="27" t="s">
        <v>565</v>
      </c>
      <c r="M62" s="27"/>
      <c r="N62" s="27"/>
      <c r="O62" s="27"/>
      <c r="P62" s="27"/>
      <c r="Q62" s="27"/>
      <c r="R62" s="27"/>
      <c r="S62" s="27"/>
      <c r="T62" s="27" t="s">
        <v>45</v>
      </c>
      <c r="U62" s="27"/>
      <c r="V62" s="27"/>
      <c r="W62" s="27" t="s">
        <v>566</v>
      </c>
      <c r="X62" s="27"/>
      <c r="Y62" s="27"/>
      <c r="Z62" s="27" t="s">
        <v>567</v>
      </c>
      <c r="AA62" s="27" t="s">
        <v>568</v>
      </c>
      <c r="AB62" s="23"/>
      <c r="AC62" s="23"/>
      <c r="AD62" s="29"/>
    </row>
    <row r="63">
      <c r="A63" s="27" t="s">
        <v>695</v>
      </c>
      <c r="B63" s="27" t="s">
        <v>696</v>
      </c>
      <c r="C63" s="27" t="s">
        <v>560</v>
      </c>
      <c r="D63" s="28" t="s">
        <v>557</v>
      </c>
      <c r="E63" s="27" t="s">
        <v>697</v>
      </c>
      <c r="F63" s="27" t="s">
        <v>698</v>
      </c>
      <c r="G63" s="27" t="s">
        <v>253</v>
      </c>
      <c r="H63" s="30" t="s">
        <v>699</v>
      </c>
      <c r="I63" s="27"/>
      <c r="J63" s="27" t="s">
        <v>700</v>
      </c>
      <c r="K63" s="27" t="s">
        <v>50</v>
      </c>
      <c r="L63" s="27" t="s">
        <v>565</v>
      </c>
      <c r="M63" s="27"/>
      <c r="N63" s="27"/>
      <c r="O63" s="27"/>
      <c r="P63" s="27"/>
      <c r="Q63" s="27"/>
      <c r="R63" s="27"/>
      <c r="S63" s="27"/>
      <c r="T63" s="27" t="s">
        <v>45</v>
      </c>
      <c r="U63" s="27"/>
      <c r="V63" s="27"/>
      <c r="W63" s="27" t="s">
        <v>566</v>
      </c>
      <c r="X63" s="28" t="s">
        <v>597</v>
      </c>
      <c r="Y63" s="27"/>
      <c r="Z63" s="27" t="s">
        <v>567</v>
      </c>
      <c r="AA63" s="27" t="s">
        <v>568</v>
      </c>
      <c r="AB63" s="23"/>
      <c r="AC63" s="23"/>
      <c r="AD63" s="29"/>
    </row>
    <row r="64">
      <c r="A64" s="27" t="s">
        <v>701</v>
      </c>
      <c r="B64" s="27" t="s">
        <v>702</v>
      </c>
      <c r="C64" s="27" t="s">
        <v>560</v>
      </c>
      <c r="D64" s="28" t="s">
        <v>557</v>
      </c>
      <c r="E64" s="27" t="s">
        <v>703</v>
      </c>
      <c r="F64" s="27" t="s">
        <v>704</v>
      </c>
      <c r="G64" s="27" t="s">
        <v>33</v>
      </c>
      <c r="H64" s="30" t="s">
        <v>705</v>
      </c>
      <c r="I64" s="27"/>
      <c r="J64" s="27" t="s">
        <v>706</v>
      </c>
      <c r="K64" s="27" t="s">
        <v>37</v>
      </c>
      <c r="L64" s="27" t="s">
        <v>93</v>
      </c>
      <c r="M64" s="27"/>
      <c r="N64" s="27"/>
      <c r="O64" s="27"/>
      <c r="P64" s="27"/>
      <c r="Q64" s="27"/>
      <c r="R64" s="27"/>
      <c r="S64" s="27"/>
      <c r="T64" s="27" t="s">
        <v>45</v>
      </c>
      <c r="U64" s="27"/>
      <c r="V64" s="27"/>
      <c r="W64" s="27" t="s">
        <v>566</v>
      </c>
      <c r="X64" s="27"/>
      <c r="Y64" s="27"/>
      <c r="Z64" s="27" t="s">
        <v>567</v>
      </c>
      <c r="AA64" s="27" t="s">
        <v>653</v>
      </c>
      <c r="AB64" s="23"/>
      <c r="AC64" s="23"/>
      <c r="AD64" s="29"/>
    </row>
    <row r="65">
      <c r="A65" s="27" t="s">
        <v>707</v>
      </c>
      <c r="B65" s="27" t="s">
        <v>708</v>
      </c>
      <c r="C65" s="27" t="s">
        <v>560</v>
      </c>
      <c r="D65" s="28" t="s">
        <v>557</v>
      </c>
      <c r="E65" s="27" t="s">
        <v>709</v>
      </c>
      <c r="F65" s="27" t="s">
        <v>710</v>
      </c>
      <c r="G65" s="27" t="s">
        <v>253</v>
      </c>
      <c r="H65" s="27" t="s">
        <v>711</v>
      </c>
      <c r="I65" s="27"/>
      <c r="J65" s="27" t="s">
        <v>712</v>
      </c>
      <c r="K65" s="27" t="s">
        <v>50</v>
      </c>
      <c r="L65" s="27" t="s">
        <v>565</v>
      </c>
      <c r="M65" s="27"/>
      <c r="N65" s="27"/>
      <c r="O65" s="27"/>
      <c r="P65" s="27"/>
      <c r="Q65" s="27"/>
      <c r="R65" s="27"/>
      <c r="S65" s="27"/>
      <c r="T65" s="27" t="s">
        <v>45</v>
      </c>
      <c r="U65" s="27"/>
      <c r="V65" s="27"/>
      <c r="W65" s="27" t="s">
        <v>566</v>
      </c>
      <c r="X65" s="27" t="s">
        <v>713</v>
      </c>
      <c r="Y65" s="27"/>
      <c r="Z65" s="27" t="s">
        <v>567</v>
      </c>
      <c r="AA65" s="27" t="s">
        <v>568</v>
      </c>
      <c r="AB65" s="23"/>
      <c r="AC65" s="23"/>
      <c r="AD65" s="29"/>
    </row>
    <row r="66">
      <c r="A66" s="27" t="s">
        <v>714</v>
      </c>
      <c r="B66" s="27" t="s">
        <v>715</v>
      </c>
      <c r="C66" s="27" t="s">
        <v>560</v>
      </c>
      <c r="D66" s="28" t="s">
        <v>557</v>
      </c>
      <c r="E66" s="27" t="s">
        <v>716</v>
      </c>
      <c r="F66" s="27" t="s">
        <v>717</v>
      </c>
      <c r="G66" s="27" t="s">
        <v>253</v>
      </c>
      <c r="H66" s="30" t="s">
        <v>718</v>
      </c>
      <c r="I66" s="27"/>
      <c r="J66" s="27" t="s">
        <v>719</v>
      </c>
      <c r="K66" s="27" t="s">
        <v>50</v>
      </c>
      <c r="L66" s="27" t="s">
        <v>565</v>
      </c>
      <c r="M66" s="27"/>
      <c r="N66" s="27"/>
      <c r="O66" s="27"/>
      <c r="P66" s="27"/>
      <c r="Q66" s="27"/>
      <c r="R66" s="27"/>
      <c r="S66" s="27"/>
      <c r="T66" s="27" t="s">
        <v>45</v>
      </c>
      <c r="U66" s="27"/>
      <c r="V66" s="27"/>
      <c r="W66" s="27" t="s">
        <v>566</v>
      </c>
      <c r="X66" s="27" t="s">
        <v>713</v>
      </c>
      <c r="Y66" s="27"/>
      <c r="Z66" s="27" t="s">
        <v>567</v>
      </c>
      <c r="AA66" s="27" t="s">
        <v>568</v>
      </c>
      <c r="AB66" s="23"/>
      <c r="AC66" s="23"/>
      <c r="AD66" s="29"/>
    </row>
    <row r="67">
      <c r="A67" s="27" t="s">
        <v>720</v>
      </c>
      <c r="B67" s="27" t="s">
        <v>721</v>
      </c>
      <c r="C67" s="27" t="s">
        <v>560</v>
      </c>
      <c r="D67" s="28" t="s">
        <v>557</v>
      </c>
      <c r="E67" s="27" t="s">
        <v>600</v>
      </c>
      <c r="F67" s="27" t="s">
        <v>722</v>
      </c>
      <c r="G67" s="27" t="s">
        <v>33</v>
      </c>
      <c r="H67" s="30" t="s">
        <v>723</v>
      </c>
      <c r="I67" s="27"/>
      <c r="J67" s="27" t="s">
        <v>724</v>
      </c>
      <c r="K67" s="27" t="s">
        <v>37</v>
      </c>
      <c r="L67" s="27" t="s">
        <v>725</v>
      </c>
      <c r="M67" s="27"/>
      <c r="N67" s="27"/>
      <c r="O67" s="27"/>
      <c r="P67" s="27" t="s">
        <v>726</v>
      </c>
      <c r="Q67" s="27"/>
      <c r="R67" s="27"/>
      <c r="S67" s="27"/>
      <c r="T67" s="27" t="s">
        <v>69</v>
      </c>
      <c r="U67" s="27" t="s">
        <v>70</v>
      </c>
      <c r="V67" s="27"/>
      <c r="W67" s="27" t="s">
        <v>566</v>
      </c>
      <c r="X67" s="27"/>
      <c r="Y67" s="27"/>
      <c r="Z67" s="27" t="s">
        <v>567</v>
      </c>
      <c r="AA67" s="27" t="s">
        <v>579</v>
      </c>
      <c r="AB67" s="23"/>
      <c r="AC67" s="23"/>
      <c r="AD67" s="29"/>
    </row>
    <row r="68">
      <c r="A68" s="27" t="s">
        <v>727</v>
      </c>
      <c r="B68" s="27" t="s">
        <v>728</v>
      </c>
      <c r="C68" s="27" t="s">
        <v>560</v>
      </c>
      <c r="D68" s="28" t="s">
        <v>557</v>
      </c>
      <c r="E68" s="27" t="s">
        <v>729</v>
      </c>
      <c r="F68" s="27" t="s">
        <v>730</v>
      </c>
      <c r="G68" s="27" t="s">
        <v>253</v>
      </c>
      <c r="H68" s="30" t="s">
        <v>731</v>
      </c>
      <c r="I68" s="27"/>
      <c r="J68" s="27" t="s">
        <v>732</v>
      </c>
      <c r="K68" s="27" t="s">
        <v>50</v>
      </c>
      <c r="L68" s="27" t="s">
        <v>565</v>
      </c>
      <c r="M68" s="27"/>
      <c r="N68" s="27"/>
      <c r="O68" s="27"/>
      <c r="P68" s="27"/>
      <c r="Q68" s="27"/>
      <c r="R68" s="27"/>
      <c r="S68" s="27"/>
      <c r="T68" s="27" t="s">
        <v>45</v>
      </c>
      <c r="U68" s="27"/>
      <c r="V68" s="27"/>
      <c r="W68" s="27" t="s">
        <v>566</v>
      </c>
      <c r="X68" s="27"/>
      <c r="Y68" s="27"/>
      <c r="Z68" s="27" t="s">
        <v>567</v>
      </c>
      <c r="AA68" s="27" t="s">
        <v>568</v>
      </c>
      <c r="AB68" s="23"/>
      <c r="AC68" s="23"/>
      <c r="AD68" s="29"/>
    </row>
    <row r="69">
      <c r="A69" s="27" t="s">
        <v>733</v>
      </c>
      <c r="B69" s="27" t="s">
        <v>734</v>
      </c>
      <c r="C69" s="27" t="s">
        <v>560</v>
      </c>
      <c r="D69" s="28" t="s">
        <v>557</v>
      </c>
      <c r="E69" s="27" t="s">
        <v>600</v>
      </c>
      <c r="F69" s="27" t="s">
        <v>735</v>
      </c>
      <c r="G69" s="27" t="s">
        <v>33</v>
      </c>
      <c r="H69" s="30" t="s">
        <v>736</v>
      </c>
      <c r="I69" s="27"/>
      <c r="J69" s="27" t="s">
        <v>737</v>
      </c>
      <c r="K69" s="27" t="s">
        <v>37</v>
      </c>
      <c r="L69" s="27" t="s">
        <v>93</v>
      </c>
      <c r="M69" s="27" t="s">
        <v>738</v>
      </c>
      <c r="N69" s="27" t="s">
        <v>739</v>
      </c>
      <c r="O69" s="27"/>
      <c r="P69" s="27"/>
      <c r="Q69" s="27"/>
      <c r="R69" s="27"/>
      <c r="S69" s="27"/>
      <c r="T69" s="27" t="s">
        <v>45</v>
      </c>
      <c r="U69" s="27"/>
      <c r="V69" s="27"/>
      <c r="W69" s="27" t="s">
        <v>566</v>
      </c>
      <c r="X69" s="27"/>
      <c r="Y69" s="27"/>
      <c r="Z69" s="27" t="s">
        <v>567</v>
      </c>
      <c r="AA69" s="27" t="s">
        <v>653</v>
      </c>
      <c r="AB69" s="23"/>
      <c r="AC69" s="23"/>
      <c r="AD69" s="29"/>
    </row>
    <row r="70">
      <c r="A70" s="27" t="s">
        <v>740</v>
      </c>
      <c r="B70" s="27" t="s">
        <v>741</v>
      </c>
      <c r="C70" s="27" t="s">
        <v>560</v>
      </c>
      <c r="D70" s="28" t="s">
        <v>557</v>
      </c>
      <c r="E70" s="27" t="s">
        <v>600</v>
      </c>
      <c r="F70" s="27" t="s">
        <v>742</v>
      </c>
      <c r="G70" s="27" t="s">
        <v>33</v>
      </c>
      <c r="H70" s="30" t="s">
        <v>743</v>
      </c>
      <c r="I70" s="27"/>
      <c r="J70" s="27" t="s">
        <v>744</v>
      </c>
      <c r="K70" s="27" t="s">
        <v>50</v>
      </c>
      <c r="L70" s="27" t="s">
        <v>565</v>
      </c>
      <c r="M70" s="27" t="s">
        <v>745</v>
      </c>
      <c r="N70" s="27" t="s">
        <v>746</v>
      </c>
      <c r="O70" s="27"/>
      <c r="P70" s="27"/>
      <c r="Q70" s="27"/>
      <c r="R70" s="27"/>
      <c r="S70" s="27"/>
      <c r="T70" s="27" t="s">
        <v>45</v>
      </c>
      <c r="U70" s="27"/>
      <c r="V70" s="27"/>
      <c r="W70" s="27" t="s">
        <v>566</v>
      </c>
      <c r="X70" s="27"/>
      <c r="Y70" s="27"/>
      <c r="Z70" s="27" t="s">
        <v>567</v>
      </c>
      <c r="AA70" s="27" t="s">
        <v>653</v>
      </c>
      <c r="AB70" s="23"/>
      <c r="AC70" s="23"/>
      <c r="AD70" s="29"/>
    </row>
    <row r="71">
      <c r="A71" s="27" t="s">
        <v>747</v>
      </c>
      <c r="B71" s="27" t="s">
        <v>748</v>
      </c>
      <c r="C71" s="27" t="s">
        <v>560</v>
      </c>
      <c r="D71" s="28" t="s">
        <v>557</v>
      </c>
      <c r="E71" s="27" t="s">
        <v>749</v>
      </c>
      <c r="F71" s="27" t="s">
        <v>750</v>
      </c>
      <c r="G71" s="27" t="s">
        <v>253</v>
      </c>
      <c r="H71" s="30" t="s">
        <v>751</v>
      </c>
      <c r="I71" s="27"/>
      <c r="J71" s="27" t="s">
        <v>752</v>
      </c>
      <c r="K71" s="27" t="s">
        <v>50</v>
      </c>
      <c r="L71" s="27" t="s">
        <v>565</v>
      </c>
      <c r="M71" s="27"/>
      <c r="N71" s="27"/>
      <c r="O71" s="27"/>
      <c r="P71" s="27"/>
      <c r="Q71" s="27"/>
      <c r="R71" s="27"/>
      <c r="S71" s="27"/>
      <c r="T71" s="27" t="s">
        <v>45</v>
      </c>
      <c r="U71" s="27"/>
      <c r="V71" s="27"/>
      <c r="W71" s="27" t="s">
        <v>566</v>
      </c>
      <c r="X71" s="27"/>
      <c r="Y71" s="27"/>
      <c r="Z71" s="27" t="s">
        <v>567</v>
      </c>
      <c r="AA71" s="27" t="s">
        <v>568</v>
      </c>
      <c r="AB71" s="23"/>
      <c r="AC71" s="23"/>
      <c r="AD71" s="29"/>
    </row>
    <row r="72">
      <c r="A72" s="27" t="s">
        <v>753</v>
      </c>
      <c r="B72" s="27" t="s">
        <v>754</v>
      </c>
      <c r="C72" s="27" t="s">
        <v>560</v>
      </c>
      <c r="D72" s="28" t="s">
        <v>557</v>
      </c>
      <c r="E72" s="27" t="s">
        <v>755</v>
      </c>
      <c r="F72" s="27" t="s">
        <v>756</v>
      </c>
      <c r="G72" s="27" t="s">
        <v>253</v>
      </c>
      <c r="H72" s="30" t="s">
        <v>757</v>
      </c>
      <c r="I72" s="27"/>
      <c r="J72" s="27" t="s">
        <v>758</v>
      </c>
      <c r="K72" s="27" t="s">
        <v>50</v>
      </c>
      <c r="L72" s="27" t="s">
        <v>565</v>
      </c>
      <c r="M72" s="27"/>
      <c r="N72" s="27"/>
      <c r="O72" s="27"/>
      <c r="P72" s="27"/>
      <c r="Q72" s="27"/>
      <c r="R72" s="27"/>
      <c r="S72" s="27"/>
      <c r="T72" s="27" t="s">
        <v>45</v>
      </c>
      <c r="U72" s="27"/>
      <c r="V72" s="27"/>
      <c r="W72" s="27" t="s">
        <v>566</v>
      </c>
      <c r="X72" s="28" t="s">
        <v>597</v>
      </c>
      <c r="Y72" s="27"/>
      <c r="Z72" s="27" t="s">
        <v>567</v>
      </c>
      <c r="AA72" s="27" t="s">
        <v>568</v>
      </c>
      <c r="AB72" s="23"/>
      <c r="AC72" s="23"/>
      <c r="AD72" s="29"/>
    </row>
    <row r="73">
      <c r="A73" s="27" t="s">
        <v>759</v>
      </c>
      <c r="B73" s="27" t="s">
        <v>760</v>
      </c>
      <c r="C73" s="27" t="s">
        <v>560</v>
      </c>
      <c r="D73" s="28" t="s">
        <v>557</v>
      </c>
      <c r="E73" s="27" t="s">
        <v>729</v>
      </c>
      <c r="F73" s="27" t="s">
        <v>761</v>
      </c>
      <c r="G73" s="27" t="s">
        <v>253</v>
      </c>
      <c r="H73" s="30" t="s">
        <v>762</v>
      </c>
      <c r="I73" s="27"/>
      <c r="J73" s="27" t="s">
        <v>763</v>
      </c>
      <c r="K73" s="27" t="s">
        <v>50</v>
      </c>
      <c r="L73" s="27" t="s">
        <v>621</v>
      </c>
      <c r="M73" s="27"/>
      <c r="N73" s="27"/>
      <c r="O73" s="27"/>
      <c r="P73" s="27" t="s">
        <v>764</v>
      </c>
      <c r="Q73" s="27"/>
      <c r="R73" s="27"/>
      <c r="S73" s="27"/>
      <c r="T73" s="27" t="s">
        <v>45</v>
      </c>
      <c r="U73" s="27"/>
      <c r="V73" s="27"/>
      <c r="W73" s="27" t="s">
        <v>566</v>
      </c>
      <c r="X73" s="27"/>
      <c r="Y73" s="27"/>
      <c r="Z73" s="27" t="s">
        <v>567</v>
      </c>
      <c r="AA73" s="27" t="s">
        <v>568</v>
      </c>
      <c r="AB73" s="23"/>
      <c r="AC73" s="23"/>
      <c r="AD73" s="29"/>
    </row>
    <row r="74">
      <c r="A74" s="27" t="s">
        <v>765</v>
      </c>
      <c r="B74" s="27" t="s">
        <v>766</v>
      </c>
      <c r="C74" s="27" t="s">
        <v>560</v>
      </c>
      <c r="D74" s="28" t="s">
        <v>557</v>
      </c>
      <c r="E74" s="27" t="s">
        <v>767</v>
      </c>
      <c r="F74" s="27" t="s">
        <v>768</v>
      </c>
      <c r="G74" s="27" t="s">
        <v>253</v>
      </c>
      <c r="H74" s="30" t="s">
        <v>769</v>
      </c>
      <c r="I74" s="27"/>
      <c r="J74" s="27" t="s">
        <v>770</v>
      </c>
      <c r="K74" s="27" t="s">
        <v>50</v>
      </c>
      <c r="L74" s="27" t="s">
        <v>565</v>
      </c>
      <c r="M74" s="27"/>
      <c r="N74" s="27"/>
      <c r="O74" s="27"/>
      <c r="P74" s="27"/>
      <c r="Q74" s="27"/>
      <c r="R74" s="27"/>
      <c r="S74" s="27"/>
      <c r="T74" s="27" t="s">
        <v>45</v>
      </c>
      <c r="U74" s="27"/>
      <c r="V74" s="27"/>
      <c r="W74" s="27" t="s">
        <v>566</v>
      </c>
      <c r="X74" s="28" t="s">
        <v>597</v>
      </c>
      <c r="Y74" s="27"/>
      <c r="Z74" s="27" t="s">
        <v>567</v>
      </c>
      <c r="AA74" s="27" t="s">
        <v>568</v>
      </c>
      <c r="AB74" s="23"/>
      <c r="AC74" s="23"/>
      <c r="AD74" s="29"/>
    </row>
    <row r="75">
      <c r="A75" s="29" t="s">
        <v>771</v>
      </c>
      <c r="B75" s="29" t="s">
        <v>772</v>
      </c>
      <c r="C75" s="29" t="s">
        <v>773</v>
      </c>
      <c r="D75" s="29" t="s">
        <v>774</v>
      </c>
      <c r="E75" s="29" t="s">
        <v>775</v>
      </c>
      <c r="F75" s="29" t="s">
        <v>776</v>
      </c>
      <c r="G75" s="29" t="s">
        <v>58</v>
      </c>
      <c r="H75" s="31" t="s">
        <v>777</v>
      </c>
      <c r="I75" s="32" t="s">
        <v>778</v>
      </c>
      <c r="J75" s="29" t="s">
        <v>779</v>
      </c>
      <c r="K75" s="29" t="s">
        <v>50</v>
      </c>
      <c r="L75" s="29" t="s">
        <v>780</v>
      </c>
      <c r="M75" s="29" t="s">
        <v>781</v>
      </c>
      <c r="N75" s="29" t="s">
        <v>782</v>
      </c>
      <c r="O75" s="29" t="s">
        <v>783</v>
      </c>
      <c r="P75" s="29" t="s">
        <v>784</v>
      </c>
      <c r="Q75" s="29"/>
      <c r="R75" s="29"/>
      <c r="S75" s="29"/>
      <c r="T75" s="29" t="s">
        <v>45</v>
      </c>
      <c r="U75" s="29" t="s">
        <v>785</v>
      </c>
      <c r="V75" s="29" t="s">
        <v>786</v>
      </c>
      <c r="W75" s="29" t="s">
        <v>566</v>
      </c>
      <c r="X75" s="29" t="s">
        <v>787</v>
      </c>
      <c r="Y75" s="29"/>
      <c r="Z75" s="29" t="s">
        <v>788</v>
      </c>
      <c r="AA75" s="29" t="s">
        <v>789</v>
      </c>
      <c r="AB75" s="23"/>
      <c r="AC75" s="29"/>
      <c r="AD75" s="29"/>
    </row>
    <row r="76">
      <c r="A76" s="29" t="s">
        <v>790</v>
      </c>
      <c r="B76" s="29" t="s">
        <v>791</v>
      </c>
      <c r="C76" s="29" t="s">
        <v>773</v>
      </c>
      <c r="D76" s="29" t="s">
        <v>774</v>
      </c>
      <c r="E76" s="29" t="s">
        <v>792</v>
      </c>
      <c r="F76" s="29" t="s">
        <v>793</v>
      </c>
      <c r="G76" s="29" t="s">
        <v>33</v>
      </c>
      <c r="H76" s="31" t="s">
        <v>794</v>
      </c>
      <c r="I76" s="29" t="s">
        <v>795</v>
      </c>
      <c r="J76" s="29" t="s">
        <v>796</v>
      </c>
      <c r="K76" s="29" t="s">
        <v>50</v>
      </c>
      <c r="L76" s="29" t="s">
        <v>797</v>
      </c>
      <c r="M76" s="29" t="s">
        <v>798</v>
      </c>
      <c r="N76" s="29" t="s">
        <v>799</v>
      </c>
      <c r="O76" s="29" t="s">
        <v>783</v>
      </c>
      <c r="P76" s="29" t="s">
        <v>800</v>
      </c>
      <c r="Q76" s="29"/>
      <c r="R76" s="29"/>
      <c r="S76" s="29"/>
      <c r="T76" s="29" t="s">
        <v>45</v>
      </c>
      <c r="U76" s="29" t="s">
        <v>801</v>
      </c>
      <c r="V76" s="29" t="s">
        <v>786</v>
      </c>
      <c r="W76" s="29" t="s">
        <v>566</v>
      </c>
      <c r="X76" s="29" t="s">
        <v>802</v>
      </c>
      <c r="Y76" s="29"/>
      <c r="Z76" s="29" t="s">
        <v>788</v>
      </c>
      <c r="AA76" s="29" t="s">
        <v>653</v>
      </c>
      <c r="AB76" s="23"/>
      <c r="AC76" s="33"/>
      <c r="AD76" s="33"/>
    </row>
    <row r="77">
      <c r="A77" s="29" t="s">
        <v>803</v>
      </c>
      <c r="B77" s="29" t="s">
        <v>804</v>
      </c>
      <c r="C77" s="29" t="s">
        <v>773</v>
      </c>
      <c r="D77" s="29" t="s">
        <v>774</v>
      </c>
      <c r="E77" s="29" t="s">
        <v>805</v>
      </c>
      <c r="F77" s="29" t="s">
        <v>806</v>
      </c>
      <c r="G77" s="29" t="s">
        <v>33</v>
      </c>
      <c r="H77" s="31" t="s">
        <v>794</v>
      </c>
      <c r="I77" s="29" t="s">
        <v>807</v>
      </c>
      <c r="J77" s="29" t="s">
        <v>796</v>
      </c>
      <c r="K77" s="29" t="s">
        <v>50</v>
      </c>
      <c r="L77" s="29" t="s">
        <v>797</v>
      </c>
      <c r="M77" s="29" t="s">
        <v>798</v>
      </c>
      <c r="N77" s="29" t="s">
        <v>808</v>
      </c>
      <c r="O77" s="29" t="s">
        <v>783</v>
      </c>
      <c r="P77" s="29" t="s">
        <v>800</v>
      </c>
      <c r="Q77" s="29"/>
      <c r="R77" s="29"/>
      <c r="S77" s="29"/>
      <c r="T77" s="29" t="s">
        <v>45</v>
      </c>
      <c r="U77" s="29" t="s">
        <v>801</v>
      </c>
      <c r="V77" s="29" t="s">
        <v>786</v>
      </c>
      <c r="W77" s="29" t="s">
        <v>566</v>
      </c>
      <c r="X77" s="29" t="s">
        <v>802</v>
      </c>
      <c r="Y77" s="29"/>
      <c r="Z77" s="29" t="s">
        <v>788</v>
      </c>
      <c r="AA77" s="29" t="s">
        <v>653</v>
      </c>
      <c r="AB77" s="23"/>
      <c r="AC77" s="33"/>
      <c r="AD77" s="33"/>
    </row>
    <row r="78">
      <c r="A78" s="29" t="s">
        <v>809</v>
      </c>
      <c r="B78" s="29" t="s">
        <v>810</v>
      </c>
      <c r="C78" s="29" t="s">
        <v>773</v>
      </c>
      <c r="D78" s="29" t="s">
        <v>774</v>
      </c>
      <c r="E78" s="29" t="s">
        <v>811</v>
      </c>
      <c r="F78" s="29" t="s">
        <v>812</v>
      </c>
      <c r="G78" s="29" t="s">
        <v>253</v>
      </c>
      <c r="H78" s="31" t="s">
        <v>813</v>
      </c>
      <c r="I78" s="29" t="s">
        <v>814</v>
      </c>
      <c r="J78" s="29" t="s">
        <v>815</v>
      </c>
      <c r="K78" s="29" t="s">
        <v>50</v>
      </c>
      <c r="L78" s="29" t="s">
        <v>816</v>
      </c>
      <c r="M78" s="29" t="s">
        <v>798</v>
      </c>
      <c r="N78" s="29" t="s">
        <v>817</v>
      </c>
      <c r="O78" s="29" t="s">
        <v>783</v>
      </c>
      <c r="P78" s="29" t="s">
        <v>818</v>
      </c>
      <c r="Q78" s="29"/>
      <c r="R78" s="29"/>
      <c r="S78" s="29"/>
      <c r="T78" s="29" t="s">
        <v>45</v>
      </c>
      <c r="U78" s="29" t="s">
        <v>819</v>
      </c>
      <c r="V78" s="29" t="s">
        <v>786</v>
      </c>
      <c r="W78" s="29" t="s">
        <v>566</v>
      </c>
      <c r="X78" s="29" t="s">
        <v>820</v>
      </c>
      <c r="Y78" s="29"/>
      <c r="Z78" s="29" t="s">
        <v>788</v>
      </c>
      <c r="AA78" s="29" t="s">
        <v>568</v>
      </c>
      <c r="AB78" s="23"/>
      <c r="AC78" s="33"/>
      <c r="AD78" s="33"/>
    </row>
    <row r="79">
      <c r="A79" s="33" t="s">
        <v>821</v>
      </c>
      <c r="B79" s="33" t="s">
        <v>822</v>
      </c>
      <c r="C79" s="33" t="s">
        <v>823</v>
      </c>
      <c r="D79" s="33" t="s">
        <v>824</v>
      </c>
      <c r="E79" s="33" t="s">
        <v>825</v>
      </c>
      <c r="F79" s="33" t="s">
        <v>43</v>
      </c>
      <c r="G79" s="34" t="s">
        <v>33</v>
      </c>
      <c r="H79" s="35" t="s">
        <v>826</v>
      </c>
      <c r="I79" s="33" t="s">
        <v>43</v>
      </c>
      <c r="J79" s="33" t="s">
        <v>827</v>
      </c>
      <c r="K79" s="33" t="s">
        <v>37</v>
      </c>
      <c r="L79" s="33" t="s">
        <v>828</v>
      </c>
      <c r="M79" s="33" t="s">
        <v>829</v>
      </c>
      <c r="N79" s="33" t="s">
        <v>830</v>
      </c>
      <c r="O79" s="33" t="s">
        <v>831</v>
      </c>
      <c r="P79" s="33" t="s">
        <v>832</v>
      </c>
      <c r="Q79" s="33" t="s">
        <v>43</v>
      </c>
      <c r="R79" s="33" t="s">
        <v>43</v>
      </c>
      <c r="S79" s="33" t="s">
        <v>43</v>
      </c>
      <c r="T79" s="33" t="s">
        <v>45</v>
      </c>
      <c r="U79" s="33" t="s">
        <v>43</v>
      </c>
      <c r="V79" s="33" t="s">
        <v>43</v>
      </c>
      <c r="W79" s="33" t="s">
        <v>566</v>
      </c>
      <c r="X79" s="33" t="s">
        <v>43</v>
      </c>
      <c r="Y79" s="36">
        <v>1.0</v>
      </c>
      <c r="Z79" s="33" t="s">
        <v>788</v>
      </c>
      <c r="AA79" s="33" t="s">
        <v>653</v>
      </c>
      <c r="AB79" s="33"/>
      <c r="AC79" s="33"/>
      <c r="AD79" s="33"/>
    </row>
    <row r="80">
      <c r="A80" s="33" t="s">
        <v>833</v>
      </c>
      <c r="B80" s="33" t="s">
        <v>834</v>
      </c>
      <c r="C80" s="33" t="s">
        <v>823</v>
      </c>
      <c r="D80" s="33" t="s">
        <v>824</v>
      </c>
      <c r="E80" s="33" t="s">
        <v>825</v>
      </c>
      <c r="F80" s="33" t="s">
        <v>835</v>
      </c>
      <c r="G80" s="34" t="s">
        <v>33</v>
      </c>
      <c r="H80" s="35" t="s">
        <v>836</v>
      </c>
      <c r="I80" s="33" t="s">
        <v>43</v>
      </c>
      <c r="J80" s="33" t="s">
        <v>43</v>
      </c>
      <c r="K80" s="33" t="s">
        <v>37</v>
      </c>
      <c r="L80" s="33" t="s">
        <v>828</v>
      </c>
      <c r="M80" s="33" t="s">
        <v>738</v>
      </c>
      <c r="N80" s="33" t="s">
        <v>837</v>
      </c>
      <c r="O80" s="33" t="s">
        <v>831</v>
      </c>
      <c r="P80" s="33" t="s">
        <v>832</v>
      </c>
      <c r="Q80" s="33" t="s">
        <v>43</v>
      </c>
      <c r="R80" s="33" t="s">
        <v>43</v>
      </c>
      <c r="S80" s="33" t="s">
        <v>43</v>
      </c>
      <c r="T80" s="33" t="s">
        <v>45</v>
      </c>
      <c r="U80" s="33" t="s">
        <v>43</v>
      </c>
      <c r="V80" s="33" t="s">
        <v>43</v>
      </c>
      <c r="W80" s="33" t="s">
        <v>566</v>
      </c>
      <c r="X80" s="33" t="s">
        <v>43</v>
      </c>
      <c r="Y80" s="36">
        <v>1.0</v>
      </c>
      <c r="Z80" s="33" t="s">
        <v>788</v>
      </c>
      <c r="AA80" s="33" t="s">
        <v>653</v>
      </c>
      <c r="AB80" s="23"/>
      <c r="AC80" s="23"/>
      <c r="AD80" s="23"/>
    </row>
    <row r="81">
      <c r="A81" s="33" t="s">
        <v>838</v>
      </c>
      <c r="B81" s="33" t="s">
        <v>839</v>
      </c>
      <c r="C81" s="33" t="s">
        <v>823</v>
      </c>
      <c r="D81" s="33" t="s">
        <v>824</v>
      </c>
      <c r="E81" s="33" t="s">
        <v>840</v>
      </c>
      <c r="F81" s="33" t="s">
        <v>841</v>
      </c>
      <c r="G81" s="34" t="s">
        <v>33</v>
      </c>
      <c r="H81" s="35" t="s">
        <v>842</v>
      </c>
      <c r="I81" s="33" t="s">
        <v>43</v>
      </c>
      <c r="J81" s="33" t="s">
        <v>43</v>
      </c>
      <c r="K81" s="33" t="s">
        <v>37</v>
      </c>
      <c r="L81" s="33" t="s">
        <v>828</v>
      </c>
      <c r="M81" s="33" t="s">
        <v>43</v>
      </c>
      <c r="N81" s="33" t="s">
        <v>843</v>
      </c>
      <c r="O81" s="33" t="s">
        <v>831</v>
      </c>
      <c r="P81" s="33" t="s">
        <v>832</v>
      </c>
      <c r="Q81" s="33" t="s">
        <v>43</v>
      </c>
      <c r="R81" s="33" t="s">
        <v>43</v>
      </c>
      <c r="S81" s="33" t="s">
        <v>43</v>
      </c>
      <c r="T81" s="33" t="s">
        <v>45</v>
      </c>
      <c r="U81" s="33" t="s">
        <v>43</v>
      </c>
      <c r="V81" s="33" t="s">
        <v>43</v>
      </c>
      <c r="W81" s="33" t="s">
        <v>566</v>
      </c>
      <c r="X81" s="33" t="s">
        <v>43</v>
      </c>
      <c r="Y81" s="36">
        <v>1.0</v>
      </c>
      <c r="Z81" s="33" t="s">
        <v>788</v>
      </c>
      <c r="AA81" s="33" t="s">
        <v>653</v>
      </c>
      <c r="AB81" s="23"/>
      <c r="AC81" s="23"/>
      <c r="AD81" s="23"/>
    </row>
    <row r="82">
      <c r="A82" s="33" t="s">
        <v>844</v>
      </c>
      <c r="B82" s="33" t="s">
        <v>845</v>
      </c>
      <c r="C82" s="33" t="s">
        <v>823</v>
      </c>
      <c r="D82" s="33" t="s">
        <v>824</v>
      </c>
      <c r="E82" s="33" t="s">
        <v>846</v>
      </c>
      <c r="F82" s="33" t="s">
        <v>43</v>
      </c>
      <c r="G82" s="34" t="s">
        <v>253</v>
      </c>
      <c r="H82" s="35" t="s">
        <v>847</v>
      </c>
      <c r="I82" s="33" t="s">
        <v>43</v>
      </c>
      <c r="J82" s="33" t="s">
        <v>43</v>
      </c>
      <c r="K82" s="33" t="s">
        <v>37</v>
      </c>
      <c r="L82" s="33" t="s">
        <v>848</v>
      </c>
      <c r="M82" s="33" t="s">
        <v>43</v>
      </c>
      <c r="N82" s="33" t="s">
        <v>849</v>
      </c>
      <c r="O82" s="33" t="s">
        <v>831</v>
      </c>
      <c r="P82" s="33" t="s">
        <v>850</v>
      </c>
      <c r="Q82" s="33" t="s">
        <v>43</v>
      </c>
      <c r="R82" s="33" t="s">
        <v>43</v>
      </c>
      <c r="S82" s="33" t="s">
        <v>43</v>
      </c>
      <c r="T82" s="33" t="s">
        <v>45</v>
      </c>
      <c r="U82" s="33" t="s">
        <v>43</v>
      </c>
      <c r="V82" s="33" t="s">
        <v>43</v>
      </c>
      <c r="W82" s="33" t="s">
        <v>566</v>
      </c>
      <c r="X82" s="33" t="s">
        <v>43</v>
      </c>
      <c r="Y82" s="36">
        <v>1.0</v>
      </c>
      <c r="Z82" s="33" t="s">
        <v>788</v>
      </c>
      <c r="AA82" s="33" t="s">
        <v>568</v>
      </c>
      <c r="AB82" s="23"/>
      <c r="AC82" s="23"/>
      <c r="AD82" s="23"/>
    </row>
    <row r="83">
      <c r="A83" s="33" t="s">
        <v>851</v>
      </c>
      <c r="B83" s="33" t="s">
        <v>852</v>
      </c>
      <c r="C83" s="33" t="s">
        <v>823</v>
      </c>
      <c r="D83" s="33" t="s">
        <v>824</v>
      </c>
      <c r="E83" s="33" t="s">
        <v>825</v>
      </c>
      <c r="F83" s="33" t="s">
        <v>43</v>
      </c>
      <c r="G83" s="34" t="s">
        <v>253</v>
      </c>
      <c r="H83" s="35" t="s">
        <v>853</v>
      </c>
      <c r="I83" s="33" t="s">
        <v>43</v>
      </c>
      <c r="J83" s="33" t="s">
        <v>854</v>
      </c>
      <c r="K83" s="33" t="s">
        <v>50</v>
      </c>
      <c r="L83" s="33" t="s">
        <v>855</v>
      </c>
      <c r="M83" s="33" t="s">
        <v>43</v>
      </c>
      <c r="N83" s="33" t="s">
        <v>856</v>
      </c>
      <c r="O83" s="33" t="s">
        <v>831</v>
      </c>
      <c r="P83" s="33" t="s">
        <v>857</v>
      </c>
      <c r="Q83" s="33" t="s">
        <v>43</v>
      </c>
      <c r="R83" s="33" t="s">
        <v>43</v>
      </c>
      <c r="S83" s="33" t="s">
        <v>43</v>
      </c>
      <c r="T83" s="33" t="s">
        <v>45</v>
      </c>
      <c r="U83" s="33" t="s">
        <v>43</v>
      </c>
      <c r="V83" s="33" t="s">
        <v>43</v>
      </c>
      <c r="W83" s="33" t="s">
        <v>566</v>
      </c>
      <c r="X83" s="33" t="s">
        <v>43</v>
      </c>
      <c r="Y83" s="36">
        <v>1.0</v>
      </c>
      <c r="Z83" s="33" t="s">
        <v>788</v>
      </c>
      <c r="AA83" s="33" t="s">
        <v>568</v>
      </c>
      <c r="AB83" s="23"/>
      <c r="AC83" s="23"/>
      <c r="AD83" s="23"/>
    </row>
    <row r="84">
      <c r="A84" s="33" t="s">
        <v>858</v>
      </c>
      <c r="B84" s="33" t="s">
        <v>859</v>
      </c>
      <c r="C84" s="33" t="s">
        <v>823</v>
      </c>
      <c r="D84" s="33" t="s">
        <v>824</v>
      </c>
      <c r="E84" s="33" t="s">
        <v>860</v>
      </c>
      <c r="F84" s="33" t="s">
        <v>43</v>
      </c>
      <c r="G84" s="34" t="s">
        <v>253</v>
      </c>
      <c r="H84" s="35" t="s">
        <v>861</v>
      </c>
      <c r="I84" s="33" t="s">
        <v>43</v>
      </c>
      <c r="J84" s="33" t="s">
        <v>43</v>
      </c>
      <c r="K84" s="33" t="s">
        <v>37</v>
      </c>
      <c r="L84" s="33" t="s">
        <v>828</v>
      </c>
      <c r="M84" s="33" t="s">
        <v>43</v>
      </c>
      <c r="N84" s="33" t="s">
        <v>862</v>
      </c>
      <c r="O84" s="33" t="s">
        <v>831</v>
      </c>
      <c r="P84" s="33" t="s">
        <v>832</v>
      </c>
      <c r="Q84" s="33" t="s">
        <v>43</v>
      </c>
      <c r="R84" s="33" t="s">
        <v>43</v>
      </c>
      <c r="S84" s="33" t="s">
        <v>43</v>
      </c>
      <c r="T84" s="33" t="s">
        <v>45</v>
      </c>
      <c r="U84" s="33" t="s">
        <v>43</v>
      </c>
      <c r="V84" s="33" t="s">
        <v>43</v>
      </c>
      <c r="W84" s="33" t="s">
        <v>566</v>
      </c>
      <c r="X84" s="33" t="s">
        <v>43</v>
      </c>
      <c r="Y84" s="36">
        <v>1.0</v>
      </c>
      <c r="Z84" s="33" t="s">
        <v>788</v>
      </c>
      <c r="AA84" s="33" t="s">
        <v>568</v>
      </c>
      <c r="AB84" s="23"/>
      <c r="AC84" s="23"/>
      <c r="AD84" s="23"/>
    </row>
    <row r="85">
      <c r="A85" s="33" t="s">
        <v>863</v>
      </c>
      <c r="B85" s="33" t="s">
        <v>864</v>
      </c>
      <c r="C85" s="33" t="s">
        <v>823</v>
      </c>
      <c r="D85" s="33" t="s">
        <v>824</v>
      </c>
      <c r="E85" s="33" t="s">
        <v>865</v>
      </c>
      <c r="F85" s="33" t="s">
        <v>43</v>
      </c>
      <c r="G85" s="34" t="s">
        <v>253</v>
      </c>
      <c r="H85" s="35" t="s">
        <v>866</v>
      </c>
      <c r="I85" s="33" t="s">
        <v>43</v>
      </c>
      <c r="J85" s="33" t="s">
        <v>43</v>
      </c>
      <c r="K85" s="33" t="s">
        <v>37</v>
      </c>
      <c r="L85" s="33" t="s">
        <v>828</v>
      </c>
      <c r="M85" s="33" t="s">
        <v>43</v>
      </c>
      <c r="N85" s="33" t="s">
        <v>867</v>
      </c>
      <c r="O85" s="33" t="s">
        <v>831</v>
      </c>
      <c r="P85" s="33" t="s">
        <v>832</v>
      </c>
      <c r="Q85" s="33" t="s">
        <v>43</v>
      </c>
      <c r="R85" s="33" t="s">
        <v>43</v>
      </c>
      <c r="S85" s="33" t="s">
        <v>43</v>
      </c>
      <c r="T85" s="33" t="s">
        <v>45</v>
      </c>
      <c r="U85" s="33" t="s">
        <v>43</v>
      </c>
      <c r="V85" s="33" t="s">
        <v>43</v>
      </c>
      <c r="W85" s="33" t="s">
        <v>566</v>
      </c>
      <c r="X85" s="33" t="s">
        <v>43</v>
      </c>
      <c r="Y85" s="36">
        <v>1.0</v>
      </c>
      <c r="Z85" s="33" t="s">
        <v>788</v>
      </c>
      <c r="AA85" s="33" t="s">
        <v>568</v>
      </c>
      <c r="AB85" s="23"/>
      <c r="AC85" s="23"/>
      <c r="AD85" s="23"/>
    </row>
    <row r="86">
      <c r="A86" s="33" t="s">
        <v>868</v>
      </c>
      <c r="B86" s="33" t="s">
        <v>869</v>
      </c>
      <c r="C86" s="33" t="s">
        <v>823</v>
      </c>
      <c r="D86" s="33" t="s">
        <v>824</v>
      </c>
      <c r="E86" s="33" t="s">
        <v>870</v>
      </c>
      <c r="F86" s="33" t="s">
        <v>43</v>
      </c>
      <c r="G86" s="34" t="s">
        <v>253</v>
      </c>
      <c r="H86" s="35" t="s">
        <v>871</v>
      </c>
      <c r="I86" s="33" t="s">
        <v>43</v>
      </c>
      <c r="J86" s="33" t="s">
        <v>43</v>
      </c>
      <c r="K86" s="33" t="s">
        <v>37</v>
      </c>
      <c r="L86" s="33" t="s">
        <v>828</v>
      </c>
      <c r="M86" s="33" t="s">
        <v>43</v>
      </c>
      <c r="N86" s="33" t="s">
        <v>872</v>
      </c>
      <c r="O86" s="33" t="s">
        <v>831</v>
      </c>
      <c r="P86" s="33" t="s">
        <v>832</v>
      </c>
      <c r="Q86" s="33" t="s">
        <v>43</v>
      </c>
      <c r="R86" s="33" t="s">
        <v>43</v>
      </c>
      <c r="S86" s="33" t="s">
        <v>43</v>
      </c>
      <c r="T86" s="33" t="s">
        <v>45</v>
      </c>
      <c r="U86" s="33" t="s">
        <v>43</v>
      </c>
      <c r="V86" s="33" t="s">
        <v>43</v>
      </c>
      <c r="W86" s="33" t="s">
        <v>566</v>
      </c>
      <c r="X86" s="33" t="s">
        <v>43</v>
      </c>
      <c r="Y86" s="36">
        <v>1.0</v>
      </c>
      <c r="Z86" s="33" t="s">
        <v>788</v>
      </c>
      <c r="AA86" s="33" t="s">
        <v>568</v>
      </c>
      <c r="AB86" s="23"/>
      <c r="AC86" s="23"/>
      <c r="AD86" s="23"/>
    </row>
    <row r="87">
      <c r="A87" s="33" t="s">
        <v>873</v>
      </c>
      <c r="B87" s="33" t="s">
        <v>874</v>
      </c>
      <c r="C87" s="33" t="s">
        <v>823</v>
      </c>
      <c r="D87" s="33" t="s">
        <v>824</v>
      </c>
      <c r="E87" s="33" t="s">
        <v>875</v>
      </c>
      <c r="F87" s="33" t="s">
        <v>43</v>
      </c>
      <c r="G87" s="34" t="s">
        <v>253</v>
      </c>
      <c r="H87" s="35" t="s">
        <v>876</v>
      </c>
      <c r="I87" s="33" t="s">
        <v>43</v>
      </c>
      <c r="J87" s="33" t="s">
        <v>43</v>
      </c>
      <c r="K87" s="33" t="s">
        <v>37</v>
      </c>
      <c r="L87" s="33" t="s">
        <v>828</v>
      </c>
      <c r="M87" s="33" t="s">
        <v>43</v>
      </c>
      <c r="N87" s="33" t="s">
        <v>877</v>
      </c>
      <c r="O87" s="33" t="s">
        <v>831</v>
      </c>
      <c r="P87" s="33" t="s">
        <v>832</v>
      </c>
      <c r="Q87" s="33" t="s">
        <v>43</v>
      </c>
      <c r="R87" s="33" t="s">
        <v>43</v>
      </c>
      <c r="S87" s="33" t="s">
        <v>43</v>
      </c>
      <c r="T87" s="33" t="s">
        <v>45</v>
      </c>
      <c r="U87" s="33" t="s">
        <v>43</v>
      </c>
      <c r="V87" s="33" t="s">
        <v>43</v>
      </c>
      <c r="W87" s="33" t="s">
        <v>566</v>
      </c>
      <c r="X87" s="33" t="s">
        <v>43</v>
      </c>
      <c r="Y87" s="36">
        <v>1.0</v>
      </c>
      <c r="Z87" s="33" t="s">
        <v>788</v>
      </c>
      <c r="AA87" s="33" t="s">
        <v>568</v>
      </c>
      <c r="AB87" s="23"/>
      <c r="AC87" s="23"/>
      <c r="AD87" s="23"/>
    </row>
    <row r="88">
      <c r="A88" s="33" t="s">
        <v>878</v>
      </c>
      <c r="B88" s="33" t="s">
        <v>879</v>
      </c>
      <c r="C88" s="33" t="s">
        <v>823</v>
      </c>
      <c r="D88" s="33" t="s">
        <v>824</v>
      </c>
      <c r="E88" s="33" t="s">
        <v>880</v>
      </c>
      <c r="F88" s="33" t="s">
        <v>43</v>
      </c>
      <c r="G88" s="34" t="s">
        <v>253</v>
      </c>
      <c r="H88" s="35" t="s">
        <v>881</v>
      </c>
      <c r="I88" s="33" t="s">
        <v>43</v>
      </c>
      <c r="J88" s="33" t="s">
        <v>43</v>
      </c>
      <c r="K88" s="33" t="s">
        <v>37</v>
      </c>
      <c r="L88" s="33" t="s">
        <v>828</v>
      </c>
      <c r="M88" s="33" t="s">
        <v>43</v>
      </c>
      <c r="N88" s="33" t="s">
        <v>882</v>
      </c>
      <c r="O88" s="33" t="s">
        <v>831</v>
      </c>
      <c r="P88" s="33" t="s">
        <v>832</v>
      </c>
      <c r="Q88" s="33" t="s">
        <v>43</v>
      </c>
      <c r="R88" s="33" t="s">
        <v>43</v>
      </c>
      <c r="S88" s="33" t="s">
        <v>43</v>
      </c>
      <c r="T88" s="33" t="s">
        <v>45</v>
      </c>
      <c r="U88" s="33" t="s">
        <v>43</v>
      </c>
      <c r="V88" s="33" t="s">
        <v>43</v>
      </c>
      <c r="W88" s="33" t="s">
        <v>566</v>
      </c>
      <c r="X88" s="33" t="s">
        <v>43</v>
      </c>
      <c r="Y88" s="36">
        <v>1.0</v>
      </c>
      <c r="Z88" s="33" t="s">
        <v>788</v>
      </c>
      <c r="AA88" s="33" t="s">
        <v>568</v>
      </c>
      <c r="AB88" s="23"/>
      <c r="AC88" s="23"/>
      <c r="AD88" s="23"/>
    </row>
    <row r="89">
      <c r="A89" s="33" t="s">
        <v>883</v>
      </c>
      <c r="B89" s="33" t="s">
        <v>884</v>
      </c>
      <c r="C89" s="33" t="s">
        <v>823</v>
      </c>
      <c r="D89" s="33" t="s">
        <v>824</v>
      </c>
      <c r="E89" s="33" t="s">
        <v>880</v>
      </c>
      <c r="F89" s="33" t="s">
        <v>43</v>
      </c>
      <c r="G89" s="34" t="s">
        <v>253</v>
      </c>
      <c r="H89" s="35" t="s">
        <v>885</v>
      </c>
      <c r="I89" s="33" t="s">
        <v>43</v>
      </c>
      <c r="J89" s="33" t="s">
        <v>43</v>
      </c>
      <c r="K89" s="33" t="s">
        <v>50</v>
      </c>
      <c r="L89" s="33" t="s">
        <v>855</v>
      </c>
      <c r="M89" s="33" t="s">
        <v>43</v>
      </c>
      <c r="N89" s="33" t="s">
        <v>886</v>
      </c>
      <c r="O89" s="33" t="s">
        <v>831</v>
      </c>
      <c r="P89" s="33" t="s">
        <v>857</v>
      </c>
      <c r="Q89" s="33" t="s">
        <v>43</v>
      </c>
      <c r="R89" s="33" t="s">
        <v>43</v>
      </c>
      <c r="S89" s="33" t="s">
        <v>43</v>
      </c>
      <c r="T89" s="33" t="s">
        <v>45</v>
      </c>
      <c r="U89" s="33" t="s">
        <v>43</v>
      </c>
      <c r="V89" s="33" t="s">
        <v>43</v>
      </c>
      <c r="W89" s="33" t="s">
        <v>566</v>
      </c>
      <c r="X89" s="33" t="s">
        <v>43</v>
      </c>
      <c r="Y89" s="36">
        <v>1.0</v>
      </c>
      <c r="Z89" s="33" t="s">
        <v>788</v>
      </c>
      <c r="AA89" s="33" t="s">
        <v>568</v>
      </c>
      <c r="AB89" s="23"/>
      <c r="AC89" s="23"/>
      <c r="AD89" s="23"/>
    </row>
    <row r="90">
      <c r="A90" s="33" t="s">
        <v>887</v>
      </c>
      <c r="B90" s="33" t="s">
        <v>888</v>
      </c>
      <c r="C90" s="33" t="s">
        <v>823</v>
      </c>
      <c r="D90" s="33" t="s">
        <v>824</v>
      </c>
      <c r="E90" s="33" t="s">
        <v>840</v>
      </c>
      <c r="F90" s="33" t="s">
        <v>889</v>
      </c>
      <c r="G90" s="33" t="s">
        <v>33</v>
      </c>
      <c r="H90" s="35" t="s">
        <v>890</v>
      </c>
      <c r="I90" s="33" t="s">
        <v>43</v>
      </c>
      <c r="J90" s="33" t="s">
        <v>43</v>
      </c>
      <c r="K90" s="33" t="s">
        <v>37</v>
      </c>
      <c r="L90" s="33" t="s">
        <v>848</v>
      </c>
      <c r="M90" s="33" t="s">
        <v>891</v>
      </c>
      <c r="N90" s="33" t="s">
        <v>892</v>
      </c>
      <c r="O90" s="33" t="s">
        <v>831</v>
      </c>
      <c r="P90" s="33" t="s">
        <v>893</v>
      </c>
      <c r="Q90" s="33" t="s">
        <v>43</v>
      </c>
      <c r="R90" s="33" t="s">
        <v>43</v>
      </c>
      <c r="S90" s="33" t="s">
        <v>43</v>
      </c>
      <c r="T90" s="33" t="s">
        <v>45</v>
      </c>
      <c r="U90" s="33" t="s">
        <v>43</v>
      </c>
      <c r="V90" s="33" t="s">
        <v>43</v>
      </c>
      <c r="W90" s="33" t="s">
        <v>566</v>
      </c>
      <c r="X90" s="33" t="s">
        <v>43</v>
      </c>
      <c r="Y90" s="36">
        <v>1.0</v>
      </c>
      <c r="Z90" s="33" t="s">
        <v>788</v>
      </c>
      <c r="AA90" s="33" t="s">
        <v>653</v>
      </c>
      <c r="AB90" s="37"/>
      <c r="AC90" s="37"/>
      <c r="AD90" s="37"/>
    </row>
    <row r="91">
      <c r="A91" s="33" t="s">
        <v>894</v>
      </c>
      <c r="B91" s="33" t="s">
        <v>895</v>
      </c>
      <c r="C91" s="33" t="s">
        <v>823</v>
      </c>
      <c r="D91" s="33" t="s">
        <v>824</v>
      </c>
      <c r="E91" s="33" t="s">
        <v>896</v>
      </c>
      <c r="F91" s="33" t="s">
        <v>43</v>
      </c>
      <c r="G91" s="33" t="s">
        <v>253</v>
      </c>
      <c r="H91" s="35" t="s">
        <v>897</v>
      </c>
      <c r="I91" s="33" t="s">
        <v>43</v>
      </c>
      <c r="J91" s="33" t="s">
        <v>43</v>
      </c>
      <c r="K91" s="33" t="s">
        <v>37</v>
      </c>
      <c r="L91" s="33" t="s">
        <v>828</v>
      </c>
      <c r="M91" s="33" t="s">
        <v>43</v>
      </c>
      <c r="N91" s="33" t="s">
        <v>898</v>
      </c>
      <c r="O91" s="33" t="s">
        <v>831</v>
      </c>
      <c r="P91" s="33" t="s">
        <v>832</v>
      </c>
      <c r="Q91" s="33" t="s">
        <v>43</v>
      </c>
      <c r="R91" s="33" t="s">
        <v>43</v>
      </c>
      <c r="S91" s="33" t="s">
        <v>43</v>
      </c>
      <c r="T91" s="33" t="s">
        <v>45</v>
      </c>
      <c r="U91" s="33" t="s">
        <v>43</v>
      </c>
      <c r="V91" s="33" t="s">
        <v>43</v>
      </c>
      <c r="W91" s="33" t="s">
        <v>566</v>
      </c>
      <c r="X91" s="33" t="s">
        <v>43</v>
      </c>
      <c r="Y91" s="36">
        <v>1.0</v>
      </c>
      <c r="Z91" s="33" t="s">
        <v>788</v>
      </c>
      <c r="AA91" s="33" t="s">
        <v>568</v>
      </c>
      <c r="AB91" s="37"/>
      <c r="AC91" s="37"/>
      <c r="AD91" s="37"/>
    </row>
    <row r="92">
      <c r="A92" s="33" t="s">
        <v>899</v>
      </c>
      <c r="B92" s="33" t="s">
        <v>900</v>
      </c>
      <c r="C92" s="33" t="s">
        <v>823</v>
      </c>
      <c r="D92" s="33" t="s">
        <v>824</v>
      </c>
      <c r="E92" s="33" t="s">
        <v>901</v>
      </c>
      <c r="F92" s="33" t="s">
        <v>43</v>
      </c>
      <c r="G92" s="33" t="s">
        <v>253</v>
      </c>
      <c r="H92" s="35" t="s">
        <v>902</v>
      </c>
      <c r="I92" s="33" t="s">
        <v>43</v>
      </c>
      <c r="J92" s="33" t="s">
        <v>43</v>
      </c>
      <c r="K92" s="33" t="s">
        <v>37</v>
      </c>
      <c r="L92" s="33" t="s">
        <v>828</v>
      </c>
      <c r="M92" s="33" t="s">
        <v>43</v>
      </c>
      <c r="N92" s="33" t="s">
        <v>903</v>
      </c>
      <c r="O92" s="33" t="s">
        <v>831</v>
      </c>
      <c r="P92" s="33" t="s">
        <v>832</v>
      </c>
      <c r="Q92" s="33" t="s">
        <v>43</v>
      </c>
      <c r="R92" s="33" t="s">
        <v>43</v>
      </c>
      <c r="S92" s="33" t="s">
        <v>43</v>
      </c>
      <c r="T92" s="33" t="s">
        <v>45</v>
      </c>
      <c r="U92" s="33" t="s">
        <v>43</v>
      </c>
      <c r="V92" s="33" t="s">
        <v>43</v>
      </c>
      <c r="W92" s="33" t="s">
        <v>566</v>
      </c>
      <c r="X92" s="33" t="s">
        <v>43</v>
      </c>
      <c r="Y92" s="36">
        <v>1.0</v>
      </c>
      <c r="Z92" s="33" t="s">
        <v>788</v>
      </c>
      <c r="AA92" s="33" t="s">
        <v>568</v>
      </c>
      <c r="AB92" s="37"/>
      <c r="AC92" s="37"/>
      <c r="AD92" s="37"/>
    </row>
    <row r="93">
      <c r="A93" s="33" t="s">
        <v>904</v>
      </c>
      <c r="B93" s="33" t="s">
        <v>905</v>
      </c>
      <c r="C93" s="33" t="s">
        <v>823</v>
      </c>
      <c r="D93" s="33" t="s">
        <v>824</v>
      </c>
      <c r="E93" s="33" t="s">
        <v>906</v>
      </c>
      <c r="F93" s="33" t="s">
        <v>43</v>
      </c>
      <c r="G93" s="33" t="s">
        <v>253</v>
      </c>
      <c r="H93" s="35" t="s">
        <v>907</v>
      </c>
      <c r="I93" s="33" t="s">
        <v>43</v>
      </c>
      <c r="J93" s="33" t="s">
        <v>43</v>
      </c>
      <c r="K93" s="33" t="s">
        <v>37</v>
      </c>
      <c r="L93" s="33" t="s">
        <v>828</v>
      </c>
      <c r="M93" s="33" t="s">
        <v>43</v>
      </c>
      <c r="N93" s="33" t="s">
        <v>908</v>
      </c>
      <c r="O93" s="33" t="s">
        <v>831</v>
      </c>
      <c r="P93" s="33" t="s">
        <v>832</v>
      </c>
      <c r="Q93" s="33" t="s">
        <v>43</v>
      </c>
      <c r="R93" s="33" t="s">
        <v>43</v>
      </c>
      <c r="S93" s="33" t="s">
        <v>43</v>
      </c>
      <c r="T93" s="33" t="s">
        <v>45</v>
      </c>
      <c r="U93" s="33" t="s">
        <v>43</v>
      </c>
      <c r="V93" s="33" t="s">
        <v>43</v>
      </c>
      <c r="W93" s="33" t="s">
        <v>566</v>
      </c>
      <c r="X93" s="33" t="s">
        <v>43</v>
      </c>
      <c r="Y93" s="36">
        <v>1.0</v>
      </c>
      <c r="Z93" s="33" t="s">
        <v>788</v>
      </c>
      <c r="AA93" s="33" t="s">
        <v>568</v>
      </c>
      <c r="AB93" s="37"/>
      <c r="AC93" s="37"/>
      <c r="AD93" s="37"/>
    </row>
    <row r="94">
      <c r="A94" s="33" t="s">
        <v>909</v>
      </c>
      <c r="B94" s="33" t="s">
        <v>910</v>
      </c>
      <c r="C94" s="33" t="s">
        <v>823</v>
      </c>
      <c r="D94" s="33" t="s">
        <v>824</v>
      </c>
      <c r="E94" s="33" t="s">
        <v>911</v>
      </c>
      <c r="F94" s="33" t="s">
        <v>43</v>
      </c>
      <c r="G94" s="33" t="s">
        <v>253</v>
      </c>
      <c r="H94" s="35" t="s">
        <v>912</v>
      </c>
      <c r="I94" s="33" t="s">
        <v>43</v>
      </c>
      <c r="J94" s="33" t="s">
        <v>43</v>
      </c>
      <c r="K94" s="33" t="s">
        <v>37</v>
      </c>
      <c r="L94" s="33" t="s">
        <v>828</v>
      </c>
      <c r="M94" s="33" t="s">
        <v>43</v>
      </c>
      <c r="N94" s="33" t="s">
        <v>913</v>
      </c>
      <c r="O94" s="33" t="s">
        <v>831</v>
      </c>
      <c r="P94" s="33" t="s">
        <v>832</v>
      </c>
      <c r="Q94" s="33" t="s">
        <v>43</v>
      </c>
      <c r="R94" s="33" t="s">
        <v>43</v>
      </c>
      <c r="S94" s="33" t="s">
        <v>43</v>
      </c>
      <c r="T94" s="33" t="s">
        <v>45</v>
      </c>
      <c r="U94" s="33" t="s">
        <v>43</v>
      </c>
      <c r="V94" s="33" t="s">
        <v>43</v>
      </c>
      <c r="W94" s="33" t="s">
        <v>566</v>
      </c>
      <c r="X94" s="33" t="s">
        <v>43</v>
      </c>
      <c r="Y94" s="36">
        <v>1.0</v>
      </c>
      <c r="Z94" s="33" t="s">
        <v>788</v>
      </c>
      <c r="AA94" s="33" t="s">
        <v>568</v>
      </c>
      <c r="AB94" s="37"/>
      <c r="AC94" s="37"/>
      <c r="AD94" s="37"/>
    </row>
    <row r="95">
      <c r="A95" s="33" t="s">
        <v>914</v>
      </c>
      <c r="B95" s="33" t="s">
        <v>915</v>
      </c>
      <c r="C95" s="33" t="s">
        <v>823</v>
      </c>
      <c r="D95" s="33" t="s">
        <v>824</v>
      </c>
      <c r="E95" s="33" t="s">
        <v>865</v>
      </c>
      <c r="F95" s="33" t="s">
        <v>43</v>
      </c>
      <c r="G95" s="33" t="s">
        <v>253</v>
      </c>
      <c r="H95" s="35" t="s">
        <v>916</v>
      </c>
      <c r="I95" s="33" t="s">
        <v>43</v>
      </c>
      <c r="J95" s="33" t="s">
        <v>43</v>
      </c>
      <c r="K95" s="33" t="s">
        <v>50</v>
      </c>
      <c r="L95" s="33" t="s">
        <v>917</v>
      </c>
      <c r="M95" s="33" t="s">
        <v>43</v>
      </c>
      <c r="N95" s="33" t="s">
        <v>918</v>
      </c>
      <c r="O95" s="33" t="s">
        <v>831</v>
      </c>
      <c r="P95" s="33" t="s">
        <v>919</v>
      </c>
      <c r="Q95" s="33" t="s">
        <v>43</v>
      </c>
      <c r="R95" s="33" t="s">
        <v>43</v>
      </c>
      <c r="S95" s="33" t="s">
        <v>43</v>
      </c>
      <c r="T95" s="33" t="s">
        <v>45</v>
      </c>
      <c r="U95" s="33" t="s">
        <v>43</v>
      </c>
      <c r="V95" s="33" t="s">
        <v>43</v>
      </c>
      <c r="W95" s="33" t="s">
        <v>566</v>
      </c>
      <c r="X95" s="33" t="s">
        <v>43</v>
      </c>
      <c r="Y95" s="36">
        <v>1.0</v>
      </c>
      <c r="Z95" s="33" t="s">
        <v>788</v>
      </c>
      <c r="AA95" s="33" t="s">
        <v>568</v>
      </c>
      <c r="AB95" s="37"/>
      <c r="AC95" s="37"/>
      <c r="AD95" s="37"/>
    </row>
    <row r="96">
      <c r="A96" s="33" t="s">
        <v>920</v>
      </c>
      <c r="B96" s="33" t="s">
        <v>921</v>
      </c>
      <c r="C96" s="33" t="s">
        <v>823</v>
      </c>
      <c r="D96" s="33" t="s">
        <v>824</v>
      </c>
      <c r="E96" s="33" t="s">
        <v>922</v>
      </c>
      <c r="F96" s="33" t="s">
        <v>43</v>
      </c>
      <c r="G96" s="33" t="s">
        <v>253</v>
      </c>
      <c r="H96" s="35" t="s">
        <v>923</v>
      </c>
      <c r="I96" s="33" t="s">
        <v>43</v>
      </c>
      <c r="J96" s="33" t="s">
        <v>43</v>
      </c>
      <c r="K96" s="33" t="s">
        <v>50</v>
      </c>
      <c r="L96" s="33" t="s">
        <v>855</v>
      </c>
      <c r="M96" s="33" t="s">
        <v>43</v>
      </c>
      <c r="N96" s="33" t="s">
        <v>924</v>
      </c>
      <c r="O96" s="33" t="s">
        <v>831</v>
      </c>
      <c r="P96" s="33" t="s">
        <v>925</v>
      </c>
      <c r="Q96" s="33" t="s">
        <v>43</v>
      </c>
      <c r="R96" s="33" t="s">
        <v>43</v>
      </c>
      <c r="S96" s="33" t="s">
        <v>43</v>
      </c>
      <c r="T96" s="33" t="s">
        <v>45</v>
      </c>
      <c r="U96" s="38" t="s">
        <v>70</v>
      </c>
      <c r="V96" s="33" t="s">
        <v>43</v>
      </c>
      <c r="W96" s="33" t="s">
        <v>566</v>
      </c>
      <c r="X96" s="33" t="s">
        <v>43</v>
      </c>
      <c r="Y96" s="36">
        <v>1.0</v>
      </c>
      <c r="Z96" s="33" t="s">
        <v>788</v>
      </c>
      <c r="AA96" s="33" t="s">
        <v>568</v>
      </c>
      <c r="AB96" s="37"/>
      <c r="AC96" s="37"/>
      <c r="AD96" s="37"/>
    </row>
    <row r="97">
      <c r="A97" s="33" t="s">
        <v>926</v>
      </c>
      <c r="B97" s="33" t="s">
        <v>927</v>
      </c>
      <c r="C97" s="33" t="s">
        <v>823</v>
      </c>
      <c r="D97" s="33" t="s">
        <v>824</v>
      </c>
      <c r="E97" s="33" t="s">
        <v>825</v>
      </c>
      <c r="F97" s="33" t="s">
        <v>43</v>
      </c>
      <c r="G97" s="33" t="s">
        <v>253</v>
      </c>
      <c r="H97" s="35" t="s">
        <v>928</v>
      </c>
      <c r="I97" s="33" t="s">
        <v>43</v>
      </c>
      <c r="J97" s="33" t="s">
        <v>43</v>
      </c>
      <c r="K97" s="33" t="s">
        <v>50</v>
      </c>
      <c r="L97" s="33" t="s">
        <v>917</v>
      </c>
      <c r="M97" s="33" t="s">
        <v>43</v>
      </c>
      <c r="N97" s="33" t="s">
        <v>929</v>
      </c>
      <c r="O97" s="33" t="s">
        <v>831</v>
      </c>
      <c r="P97" s="33" t="s">
        <v>43</v>
      </c>
      <c r="Q97" s="33" t="s">
        <v>43</v>
      </c>
      <c r="R97" s="33" t="s">
        <v>43</v>
      </c>
      <c r="S97" s="33" t="s">
        <v>43</v>
      </c>
      <c r="T97" s="33" t="s">
        <v>45</v>
      </c>
      <c r="U97" s="33" t="s">
        <v>43</v>
      </c>
      <c r="V97" s="33" t="s">
        <v>43</v>
      </c>
      <c r="W97" s="33" t="s">
        <v>566</v>
      </c>
      <c r="X97" s="33" t="s">
        <v>43</v>
      </c>
      <c r="Y97" s="36">
        <v>1.0</v>
      </c>
      <c r="Z97" s="33" t="s">
        <v>788</v>
      </c>
      <c r="AA97" s="33" t="s">
        <v>568</v>
      </c>
      <c r="AB97" s="37"/>
      <c r="AC97" s="37"/>
      <c r="AD97" s="37"/>
    </row>
    <row r="98">
      <c r="A98" s="33" t="s">
        <v>930</v>
      </c>
      <c r="B98" s="33" t="s">
        <v>931</v>
      </c>
      <c r="C98" s="33" t="s">
        <v>823</v>
      </c>
      <c r="D98" s="33" t="s">
        <v>824</v>
      </c>
      <c r="E98" s="33" t="s">
        <v>880</v>
      </c>
      <c r="F98" s="33" t="s">
        <v>43</v>
      </c>
      <c r="G98" s="33" t="s">
        <v>253</v>
      </c>
      <c r="H98" s="35" t="s">
        <v>932</v>
      </c>
      <c r="I98" s="33" t="s">
        <v>43</v>
      </c>
      <c r="J98" s="33" t="s">
        <v>43</v>
      </c>
      <c r="K98" s="33" t="s">
        <v>50</v>
      </c>
      <c r="L98" s="33" t="s">
        <v>917</v>
      </c>
      <c r="M98" s="33" t="s">
        <v>43</v>
      </c>
      <c r="N98" s="33" t="s">
        <v>933</v>
      </c>
      <c r="O98" s="33" t="s">
        <v>831</v>
      </c>
      <c r="P98" s="33" t="s">
        <v>934</v>
      </c>
      <c r="Q98" s="33" t="s">
        <v>43</v>
      </c>
      <c r="R98" s="33" t="s">
        <v>43</v>
      </c>
      <c r="S98" s="33" t="s">
        <v>43</v>
      </c>
      <c r="T98" s="33" t="s">
        <v>45</v>
      </c>
      <c r="U98" s="33" t="s">
        <v>43</v>
      </c>
      <c r="V98" s="33" t="s">
        <v>43</v>
      </c>
      <c r="W98" s="33" t="s">
        <v>566</v>
      </c>
      <c r="X98" s="33" t="s">
        <v>43</v>
      </c>
      <c r="Y98" s="36">
        <v>1.0</v>
      </c>
      <c r="Z98" s="33" t="s">
        <v>788</v>
      </c>
      <c r="AA98" s="33" t="s">
        <v>568</v>
      </c>
      <c r="AB98" s="37"/>
      <c r="AC98" s="37"/>
      <c r="AD98" s="37"/>
    </row>
    <row r="99">
      <c r="A99" s="33" t="s">
        <v>935</v>
      </c>
      <c r="B99" s="33" t="s">
        <v>936</v>
      </c>
      <c r="C99" s="33" t="s">
        <v>823</v>
      </c>
      <c r="D99" s="33" t="s">
        <v>824</v>
      </c>
      <c r="E99" s="33" t="s">
        <v>825</v>
      </c>
      <c r="F99" s="33" t="s">
        <v>937</v>
      </c>
      <c r="G99" s="33" t="s">
        <v>58</v>
      </c>
      <c r="H99" s="35" t="s">
        <v>938</v>
      </c>
      <c r="I99" s="33" t="s">
        <v>43</v>
      </c>
      <c r="J99" s="33" t="s">
        <v>43</v>
      </c>
      <c r="K99" s="33" t="s">
        <v>37</v>
      </c>
      <c r="L99" s="33" t="s">
        <v>93</v>
      </c>
      <c r="M99" s="33" t="s">
        <v>738</v>
      </c>
      <c r="N99" s="33" t="s">
        <v>939</v>
      </c>
      <c r="O99" s="33" t="s">
        <v>940</v>
      </c>
      <c r="P99" s="33" t="s">
        <v>941</v>
      </c>
      <c r="Q99" s="33" t="s">
        <v>43</v>
      </c>
      <c r="R99" s="33" t="s">
        <v>43</v>
      </c>
      <c r="S99" s="33" t="s">
        <v>43</v>
      </c>
      <c r="T99" s="38" t="s">
        <v>69</v>
      </c>
      <c r="U99" s="38" t="s">
        <v>70</v>
      </c>
      <c r="V99" s="39">
        <v>45954.532660173616</v>
      </c>
      <c r="W99" s="33" t="s">
        <v>566</v>
      </c>
      <c r="X99" s="33" t="s">
        <v>43</v>
      </c>
      <c r="Y99" s="36">
        <v>1.0</v>
      </c>
      <c r="Z99" s="33" t="s">
        <v>788</v>
      </c>
      <c r="AA99" s="33" t="s">
        <v>607</v>
      </c>
      <c r="AB99" s="37"/>
      <c r="AC99" s="37"/>
      <c r="AD99" s="37"/>
    </row>
    <row r="100">
      <c r="A100" s="33" t="s">
        <v>942</v>
      </c>
      <c r="B100" s="33" t="s">
        <v>943</v>
      </c>
      <c r="C100" s="33" t="s">
        <v>823</v>
      </c>
      <c r="D100" s="33" t="s">
        <v>824</v>
      </c>
      <c r="E100" s="33" t="s">
        <v>825</v>
      </c>
      <c r="F100" s="33" t="s">
        <v>944</v>
      </c>
      <c r="G100" s="33" t="s">
        <v>58</v>
      </c>
      <c r="H100" s="35" t="s">
        <v>945</v>
      </c>
      <c r="I100" s="33" t="s">
        <v>43</v>
      </c>
      <c r="J100" s="33" t="s">
        <v>43</v>
      </c>
      <c r="K100" s="33" t="s">
        <v>37</v>
      </c>
      <c r="L100" s="33" t="s">
        <v>358</v>
      </c>
      <c r="M100" s="33" t="s">
        <v>43</v>
      </c>
      <c r="N100" s="33" t="s">
        <v>946</v>
      </c>
      <c r="O100" s="33" t="s">
        <v>947</v>
      </c>
      <c r="P100" s="33" t="s">
        <v>948</v>
      </c>
      <c r="Q100" s="33" t="s">
        <v>43</v>
      </c>
      <c r="R100" s="33" t="s">
        <v>43</v>
      </c>
      <c r="S100" s="33" t="s">
        <v>43</v>
      </c>
      <c r="T100" s="33" t="s">
        <v>45</v>
      </c>
      <c r="U100" s="33" t="s">
        <v>43</v>
      </c>
      <c r="V100" s="33" t="s">
        <v>43</v>
      </c>
      <c r="W100" s="33" t="s">
        <v>566</v>
      </c>
      <c r="X100" s="33" t="s">
        <v>43</v>
      </c>
      <c r="Y100" s="36">
        <v>1.0</v>
      </c>
      <c r="Z100" s="33" t="s">
        <v>788</v>
      </c>
      <c r="AA100" s="33" t="s">
        <v>789</v>
      </c>
      <c r="AB100" s="37"/>
      <c r="AC100" s="37"/>
      <c r="AD100" s="37"/>
    </row>
    <row r="101">
      <c r="A101" s="33" t="s">
        <v>949</v>
      </c>
      <c r="B101" s="33" t="s">
        <v>950</v>
      </c>
      <c r="C101" s="33" t="s">
        <v>823</v>
      </c>
      <c r="D101" s="33" t="s">
        <v>824</v>
      </c>
      <c r="E101" s="33" t="s">
        <v>825</v>
      </c>
      <c r="F101" s="33" t="s">
        <v>951</v>
      </c>
      <c r="G101" s="33" t="s">
        <v>33</v>
      </c>
      <c r="H101" s="35" t="s">
        <v>952</v>
      </c>
      <c r="I101" s="33" t="s">
        <v>43</v>
      </c>
      <c r="J101" s="33" t="s">
        <v>953</v>
      </c>
      <c r="K101" s="33" t="s">
        <v>50</v>
      </c>
      <c r="L101" s="33" t="s">
        <v>954</v>
      </c>
      <c r="M101" s="33" t="s">
        <v>43</v>
      </c>
      <c r="N101" s="33" t="s">
        <v>955</v>
      </c>
      <c r="O101" s="33" t="s">
        <v>947</v>
      </c>
      <c r="P101" s="33" t="s">
        <v>956</v>
      </c>
      <c r="Q101" s="33" t="s">
        <v>43</v>
      </c>
      <c r="R101" s="33" t="s">
        <v>43</v>
      </c>
      <c r="S101" s="33" t="s">
        <v>43</v>
      </c>
      <c r="T101" s="33" t="s">
        <v>45</v>
      </c>
      <c r="U101" s="33" t="s">
        <v>43</v>
      </c>
      <c r="V101" s="33" t="s">
        <v>43</v>
      </c>
      <c r="W101" s="33" t="s">
        <v>566</v>
      </c>
      <c r="X101" s="33" t="s">
        <v>43</v>
      </c>
      <c r="Y101" s="36">
        <v>1.0</v>
      </c>
      <c r="Z101" s="33" t="s">
        <v>788</v>
      </c>
      <c r="AA101" s="33" t="s">
        <v>653</v>
      </c>
      <c r="AB101" s="37"/>
      <c r="AC101" s="37"/>
      <c r="AD101" s="37"/>
    </row>
    <row r="102">
      <c r="A102" s="33" t="s">
        <v>957</v>
      </c>
      <c r="B102" s="33" t="s">
        <v>958</v>
      </c>
      <c r="C102" s="33" t="s">
        <v>823</v>
      </c>
      <c r="D102" s="33" t="s">
        <v>824</v>
      </c>
      <c r="E102" s="33" t="s">
        <v>825</v>
      </c>
      <c r="F102" s="33" t="s">
        <v>959</v>
      </c>
      <c r="G102" s="33" t="s">
        <v>33</v>
      </c>
      <c r="H102" s="35" t="s">
        <v>960</v>
      </c>
      <c r="I102" s="33" t="s">
        <v>43</v>
      </c>
      <c r="J102" s="33" t="s">
        <v>43</v>
      </c>
      <c r="K102" s="33" t="s">
        <v>50</v>
      </c>
      <c r="L102" s="33" t="s">
        <v>961</v>
      </c>
      <c r="M102" s="33" t="s">
        <v>43</v>
      </c>
      <c r="N102" s="33" t="s">
        <v>962</v>
      </c>
      <c r="O102" s="33" t="s">
        <v>947</v>
      </c>
      <c r="P102" s="33" t="s">
        <v>963</v>
      </c>
      <c r="Q102" s="33" t="s">
        <v>43</v>
      </c>
      <c r="R102" s="33" t="s">
        <v>43</v>
      </c>
      <c r="S102" s="33" t="s">
        <v>43</v>
      </c>
      <c r="T102" s="33" t="s">
        <v>45</v>
      </c>
      <c r="U102" s="33" t="s">
        <v>43</v>
      </c>
      <c r="V102" s="33" t="s">
        <v>43</v>
      </c>
      <c r="W102" s="33" t="s">
        <v>566</v>
      </c>
      <c r="X102" s="33" t="s">
        <v>43</v>
      </c>
      <c r="Y102" s="36">
        <v>1.0</v>
      </c>
      <c r="Z102" s="33" t="s">
        <v>788</v>
      </c>
      <c r="AA102" s="33" t="s">
        <v>653</v>
      </c>
      <c r="AB102" s="37"/>
      <c r="AC102" s="37"/>
      <c r="AD102" s="37"/>
    </row>
    <row r="103">
      <c r="A103" s="33" t="s">
        <v>964</v>
      </c>
      <c r="B103" s="33" t="s">
        <v>965</v>
      </c>
      <c r="C103" s="33" t="s">
        <v>823</v>
      </c>
      <c r="D103" s="33" t="s">
        <v>824</v>
      </c>
      <c r="E103" s="33" t="s">
        <v>825</v>
      </c>
      <c r="F103" s="33" t="s">
        <v>43</v>
      </c>
      <c r="G103" s="33" t="s">
        <v>253</v>
      </c>
      <c r="H103" s="35" t="s">
        <v>966</v>
      </c>
      <c r="I103" s="33" t="s">
        <v>43</v>
      </c>
      <c r="J103" s="33" t="s">
        <v>43</v>
      </c>
      <c r="K103" s="33" t="s">
        <v>50</v>
      </c>
      <c r="L103" s="33" t="s">
        <v>917</v>
      </c>
      <c r="M103" s="33" t="s">
        <v>43</v>
      </c>
      <c r="N103" s="33" t="s">
        <v>967</v>
      </c>
      <c r="O103" s="33" t="s">
        <v>831</v>
      </c>
      <c r="P103" s="33" t="s">
        <v>968</v>
      </c>
      <c r="Q103" s="33" t="s">
        <v>43</v>
      </c>
      <c r="R103" s="33" t="s">
        <v>43</v>
      </c>
      <c r="S103" s="33" t="s">
        <v>43</v>
      </c>
      <c r="T103" s="33" t="s">
        <v>45</v>
      </c>
      <c r="U103" s="33" t="s">
        <v>43</v>
      </c>
      <c r="V103" s="33" t="s">
        <v>43</v>
      </c>
      <c r="W103" s="33" t="s">
        <v>566</v>
      </c>
      <c r="X103" s="33" t="s">
        <v>43</v>
      </c>
      <c r="Y103" s="36">
        <v>1.0</v>
      </c>
      <c r="Z103" s="33" t="s">
        <v>788</v>
      </c>
      <c r="AA103" s="33" t="s">
        <v>568</v>
      </c>
      <c r="AB103" s="37"/>
      <c r="AC103" s="37"/>
      <c r="AD103" s="37"/>
    </row>
    <row r="104">
      <c r="A104" s="40" t="s">
        <v>969</v>
      </c>
      <c r="B104" s="40" t="s">
        <v>970</v>
      </c>
      <c r="C104" s="40" t="s">
        <v>971</v>
      </c>
      <c r="D104" s="40" t="s">
        <v>972</v>
      </c>
      <c r="E104" s="40" t="s">
        <v>973</v>
      </c>
      <c r="F104" s="40" t="s">
        <v>974</v>
      </c>
      <c r="G104" s="40" t="s">
        <v>253</v>
      </c>
      <c r="H104" s="41" t="s">
        <v>975</v>
      </c>
      <c r="I104" s="37" t="s">
        <v>976</v>
      </c>
      <c r="J104" s="40" t="s">
        <v>977</v>
      </c>
      <c r="K104" s="40" t="s">
        <v>37</v>
      </c>
      <c r="L104" s="40" t="s">
        <v>978</v>
      </c>
      <c r="M104" s="40" t="s">
        <v>979</v>
      </c>
      <c r="N104" s="40" t="s">
        <v>980</v>
      </c>
      <c r="O104" s="42">
        <v>0.0</v>
      </c>
      <c r="P104" s="40" t="s">
        <v>981</v>
      </c>
      <c r="Q104" s="40" t="s">
        <v>982</v>
      </c>
      <c r="R104" s="40" t="s">
        <v>983</v>
      </c>
      <c r="S104" s="40" t="s">
        <v>977</v>
      </c>
      <c r="T104" s="40" t="s">
        <v>45</v>
      </c>
      <c r="U104" s="40" t="s">
        <v>43</v>
      </c>
      <c r="V104" s="43"/>
      <c r="W104" s="40" t="s">
        <v>43</v>
      </c>
      <c r="X104" s="40" t="s">
        <v>984</v>
      </c>
      <c r="Y104" s="40" t="s">
        <v>985</v>
      </c>
      <c r="Z104" s="40" t="s">
        <v>986</v>
      </c>
      <c r="AA104" s="40" t="s">
        <v>987</v>
      </c>
      <c r="AB104" s="23"/>
      <c r="AC104" s="23"/>
      <c r="AD104" s="44"/>
    </row>
    <row r="105">
      <c r="A105" s="40" t="s">
        <v>988</v>
      </c>
      <c r="B105" s="40" t="s">
        <v>989</v>
      </c>
      <c r="C105" s="40" t="s">
        <v>971</v>
      </c>
      <c r="D105" s="40" t="s">
        <v>972</v>
      </c>
      <c r="E105" s="40" t="s">
        <v>990</v>
      </c>
      <c r="F105" s="40" t="s">
        <v>991</v>
      </c>
      <c r="G105" s="40" t="s">
        <v>33</v>
      </c>
      <c r="H105" s="41" t="s">
        <v>992</v>
      </c>
      <c r="I105" s="37" t="s">
        <v>993</v>
      </c>
      <c r="J105" s="40" t="s">
        <v>994</v>
      </c>
      <c r="K105" s="40" t="s">
        <v>37</v>
      </c>
      <c r="L105" s="40" t="s">
        <v>978</v>
      </c>
      <c r="M105" s="40" t="s">
        <v>995</v>
      </c>
      <c r="N105" s="40" t="s">
        <v>980</v>
      </c>
      <c r="O105" s="42">
        <v>0.0</v>
      </c>
      <c r="P105" s="40" t="s">
        <v>996</v>
      </c>
      <c r="Q105" s="40" t="s">
        <v>997</v>
      </c>
      <c r="R105" s="40" t="s">
        <v>998</v>
      </c>
      <c r="S105" s="40" t="s">
        <v>994</v>
      </c>
      <c r="T105" s="40" t="s">
        <v>578</v>
      </c>
      <c r="U105" s="40" t="s">
        <v>999</v>
      </c>
      <c r="V105" s="45">
        <v>45694.0</v>
      </c>
      <c r="W105" s="40" t="s">
        <v>37</v>
      </c>
      <c r="X105" s="40" t="s">
        <v>1000</v>
      </c>
      <c r="Y105" s="40" t="s">
        <v>985</v>
      </c>
      <c r="Z105" s="40" t="s">
        <v>567</v>
      </c>
      <c r="AA105" s="40" t="s">
        <v>1001</v>
      </c>
      <c r="AB105" s="23"/>
      <c r="AC105" s="23"/>
      <c r="AD105" s="44"/>
    </row>
    <row r="106">
      <c r="A106" s="40" t="s">
        <v>1002</v>
      </c>
      <c r="B106" s="40" t="s">
        <v>1003</v>
      </c>
      <c r="C106" s="40" t="s">
        <v>971</v>
      </c>
      <c r="D106" s="40" t="s">
        <v>972</v>
      </c>
      <c r="E106" s="40" t="s">
        <v>1004</v>
      </c>
      <c r="F106" s="40" t="s">
        <v>1005</v>
      </c>
      <c r="G106" s="40" t="s">
        <v>253</v>
      </c>
      <c r="H106" s="41" t="s">
        <v>1006</v>
      </c>
      <c r="I106" s="37" t="s">
        <v>1007</v>
      </c>
      <c r="J106" s="40" t="s">
        <v>1008</v>
      </c>
      <c r="K106" s="40" t="s">
        <v>37</v>
      </c>
      <c r="L106" s="40" t="s">
        <v>1009</v>
      </c>
      <c r="M106" s="40" t="s">
        <v>1010</v>
      </c>
      <c r="N106" s="40" t="s">
        <v>1011</v>
      </c>
      <c r="O106" s="42">
        <v>0.0</v>
      </c>
      <c r="P106" s="40" t="s">
        <v>1012</v>
      </c>
      <c r="Q106" s="40" t="s">
        <v>982</v>
      </c>
      <c r="R106" s="40" t="s">
        <v>983</v>
      </c>
      <c r="S106" s="40" t="s">
        <v>1008</v>
      </c>
      <c r="T106" s="40" t="s">
        <v>45</v>
      </c>
      <c r="U106" s="40" t="s">
        <v>43</v>
      </c>
      <c r="V106" s="43"/>
      <c r="W106" s="40" t="s">
        <v>43</v>
      </c>
      <c r="X106" s="40" t="s">
        <v>984</v>
      </c>
      <c r="Y106" s="40" t="s">
        <v>985</v>
      </c>
      <c r="Z106" s="40" t="s">
        <v>986</v>
      </c>
      <c r="AA106" s="40" t="s">
        <v>987</v>
      </c>
      <c r="AB106" s="23"/>
      <c r="AC106" s="23"/>
      <c r="AD106" s="44"/>
    </row>
    <row r="107">
      <c r="A107" s="40" t="s">
        <v>1013</v>
      </c>
      <c r="B107" s="40" t="s">
        <v>1014</v>
      </c>
      <c r="C107" s="40" t="s">
        <v>971</v>
      </c>
      <c r="D107" s="40" t="s">
        <v>972</v>
      </c>
      <c r="E107" s="40" t="s">
        <v>1015</v>
      </c>
      <c r="F107" s="40" t="s">
        <v>1016</v>
      </c>
      <c r="G107" s="40" t="s">
        <v>253</v>
      </c>
      <c r="H107" s="41" t="s">
        <v>1017</v>
      </c>
      <c r="I107" s="37" t="s">
        <v>1018</v>
      </c>
      <c r="J107" s="40" t="s">
        <v>1019</v>
      </c>
      <c r="K107" s="40" t="s">
        <v>1020</v>
      </c>
      <c r="L107" s="40" t="s">
        <v>1021</v>
      </c>
      <c r="M107" s="40" t="s">
        <v>430</v>
      </c>
      <c r="N107" s="40" t="s">
        <v>980</v>
      </c>
      <c r="O107" s="42">
        <v>0.0</v>
      </c>
      <c r="P107" s="40" t="s">
        <v>1022</v>
      </c>
      <c r="Q107" s="40" t="s">
        <v>982</v>
      </c>
      <c r="R107" s="40" t="s">
        <v>983</v>
      </c>
      <c r="S107" s="40" t="s">
        <v>1019</v>
      </c>
      <c r="T107" s="40" t="s">
        <v>45</v>
      </c>
      <c r="U107" s="40" t="s">
        <v>43</v>
      </c>
      <c r="V107" s="43"/>
      <c r="W107" s="40" t="s">
        <v>43</v>
      </c>
      <c r="X107" s="40" t="s">
        <v>984</v>
      </c>
      <c r="Y107" s="40" t="s">
        <v>985</v>
      </c>
      <c r="Z107" s="40" t="s">
        <v>986</v>
      </c>
      <c r="AA107" s="40" t="s">
        <v>987</v>
      </c>
      <c r="AB107" s="23"/>
      <c r="AC107" s="23"/>
      <c r="AD107" s="44"/>
    </row>
    <row r="108">
      <c r="A108" s="40" t="s">
        <v>1023</v>
      </c>
      <c r="B108" s="40" t="s">
        <v>1024</v>
      </c>
      <c r="C108" s="40" t="s">
        <v>971</v>
      </c>
      <c r="D108" s="40" t="s">
        <v>972</v>
      </c>
      <c r="E108" s="40" t="s">
        <v>1025</v>
      </c>
      <c r="F108" s="40" t="s">
        <v>1026</v>
      </c>
      <c r="G108" s="40" t="s">
        <v>253</v>
      </c>
      <c r="H108" s="41" t="s">
        <v>1027</v>
      </c>
      <c r="I108" s="37" t="s">
        <v>1028</v>
      </c>
      <c r="J108" s="40" t="s">
        <v>1029</v>
      </c>
      <c r="K108" s="40" t="s">
        <v>37</v>
      </c>
      <c r="L108" s="40" t="s">
        <v>1030</v>
      </c>
      <c r="M108" s="40" t="s">
        <v>995</v>
      </c>
      <c r="N108" s="40" t="s">
        <v>980</v>
      </c>
      <c r="O108" s="42">
        <v>0.0</v>
      </c>
      <c r="P108" s="40" t="s">
        <v>1031</v>
      </c>
      <c r="Q108" s="40" t="s">
        <v>982</v>
      </c>
      <c r="R108" s="40" t="s">
        <v>983</v>
      </c>
      <c r="S108" s="40" t="s">
        <v>1029</v>
      </c>
      <c r="T108" s="40" t="s">
        <v>45</v>
      </c>
      <c r="U108" s="40" t="s">
        <v>43</v>
      </c>
      <c r="V108" s="43"/>
      <c r="W108" s="40" t="s">
        <v>43</v>
      </c>
      <c r="X108" s="40" t="s">
        <v>984</v>
      </c>
      <c r="Y108" s="40" t="s">
        <v>985</v>
      </c>
      <c r="Z108" s="40" t="s">
        <v>986</v>
      </c>
      <c r="AA108" s="40" t="s">
        <v>987</v>
      </c>
      <c r="AB108" s="23"/>
      <c r="AC108" s="23"/>
      <c r="AD108" s="44"/>
    </row>
    <row r="109">
      <c r="A109" s="40" t="s">
        <v>1032</v>
      </c>
      <c r="B109" s="40" t="s">
        <v>1033</v>
      </c>
      <c r="C109" s="40" t="s">
        <v>971</v>
      </c>
      <c r="D109" s="40" t="s">
        <v>972</v>
      </c>
      <c r="E109" s="40" t="s">
        <v>1034</v>
      </c>
      <c r="F109" s="40" t="s">
        <v>1035</v>
      </c>
      <c r="G109" s="40" t="s">
        <v>253</v>
      </c>
      <c r="H109" s="41" t="s">
        <v>1036</v>
      </c>
      <c r="I109" s="37" t="s">
        <v>1037</v>
      </c>
      <c r="J109" s="40" t="s">
        <v>1038</v>
      </c>
      <c r="K109" s="40" t="s">
        <v>37</v>
      </c>
      <c r="L109" s="40" t="s">
        <v>1039</v>
      </c>
      <c r="M109" s="40" t="s">
        <v>430</v>
      </c>
      <c r="N109" s="40" t="s">
        <v>980</v>
      </c>
      <c r="O109" s="42">
        <v>0.0</v>
      </c>
      <c r="P109" s="40" t="s">
        <v>1040</v>
      </c>
      <c r="Q109" s="40" t="s">
        <v>982</v>
      </c>
      <c r="R109" s="40" t="s">
        <v>983</v>
      </c>
      <c r="S109" s="40" t="s">
        <v>1038</v>
      </c>
      <c r="T109" s="40" t="s">
        <v>45</v>
      </c>
      <c r="U109" s="40" t="s">
        <v>43</v>
      </c>
      <c r="V109" s="43"/>
      <c r="W109" s="40" t="s">
        <v>43</v>
      </c>
      <c r="X109" s="40" t="s">
        <v>984</v>
      </c>
      <c r="Y109" s="40" t="s">
        <v>985</v>
      </c>
      <c r="Z109" s="40" t="s">
        <v>986</v>
      </c>
      <c r="AA109" s="40" t="s">
        <v>987</v>
      </c>
      <c r="AB109" s="23"/>
      <c r="AC109" s="23"/>
      <c r="AD109" s="44"/>
    </row>
    <row r="110">
      <c r="A110" s="40" t="s">
        <v>1041</v>
      </c>
      <c r="B110" s="40" t="s">
        <v>1042</v>
      </c>
      <c r="C110" s="40" t="s">
        <v>971</v>
      </c>
      <c r="D110" s="40" t="s">
        <v>972</v>
      </c>
      <c r="E110" s="40" t="s">
        <v>1043</v>
      </c>
      <c r="F110" s="40" t="s">
        <v>1044</v>
      </c>
      <c r="G110" s="40" t="s">
        <v>253</v>
      </c>
      <c r="H110" s="41" t="s">
        <v>1045</v>
      </c>
      <c r="I110" s="37" t="s">
        <v>1046</v>
      </c>
      <c r="J110" s="40" t="s">
        <v>1047</v>
      </c>
      <c r="K110" s="40" t="s">
        <v>37</v>
      </c>
      <c r="L110" s="40" t="s">
        <v>1048</v>
      </c>
      <c r="M110" s="40" t="s">
        <v>1049</v>
      </c>
      <c r="N110" s="40" t="s">
        <v>980</v>
      </c>
      <c r="O110" s="42">
        <v>0.0</v>
      </c>
      <c r="P110" s="40" t="s">
        <v>1050</v>
      </c>
      <c r="Q110" s="40" t="s">
        <v>982</v>
      </c>
      <c r="R110" s="40" t="s">
        <v>983</v>
      </c>
      <c r="S110" s="40" t="s">
        <v>1047</v>
      </c>
      <c r="T110" s="40" t="s">
        <v>45</v>
      </c>
      <c r="U110" s="40" t="s">
        <v>43</v>
      </c>
      <c r="V110" s="43"/>
      <c r="W110" s="40" t="s">
        <v>43</v>
      </c>
      <c r="X110" s="40" t="s">
        <v>1051</v>
      </c>
      <c r="Y110" s="40" t="s">
        <v>985</v>
      </c>
      <c r="Z110" s="40" t="s">
        <v>567</v>
      </c>
      <c r="AA110" s="40" t="s">
        <v>987</v>
      </c>
      <c r="AB110" s="23"/>
      <c r="AC110" s="23"/>
      <c r="AD110" s="44"/>
    </row>
    <row r="111">
      <c r="A111" s="40" t="s">
        <v>1052</v>
      </c>
      <c r="B111" s="40" t="s">
        <v>1053</v>
      </c>
      <c r="C111" s="40" t="s">
        <v>971</v>
      </c>
      <c r="D111" s="40" t="s">
        <v>972</v>
      </c>
      <c r="E111" s="40" t="s">
        <v>1054</v>
      </c>
      <c r="F111" s="40" t="s">
        <v>1055</v>
      </c>
      <c r="G111" s="40" t="s">
        <v>253</v>
      </c>
      <c r="H111" s="41" t="s">
        <v>1056</v>
      </c>
      <c r="I111" s="37" t="s">
        <v>1057</v>
      </c>
      <c r="J111" s="40" t="s">
        <v>1058</v>
      </c>
      <c r="K111" s="40" t="s">
        <v>1020</v>
      </c>
      <c r="L111" s="40" t="s">
        <v>1059</v>
      </c>
      <c r="M111" s="40" t="s">
        <v>430</v>
      </c>
      <c r="N111" s="40" t="s">
        <v>980</v>
      </c>
      <c r="O111" s="42">
        <v>0.0</v>
      </c>
      <c r="P111" s="40" t="s">
        <v>1060</v>
      </c>
      <c r="Q111" s="40" t="s">
        <v>982</v>
      </c>
      <c r="R111" s="40" t="s">
        <v>983</v>
      </c>
      <c r="S111" s="40" t="s">
        <v>1058</v>
      </c>
      <c r="T111" s="40" t="s">
        <v>45</v>
      </c>
      <c r="U111" s="40" t="s">
        <v>43</v>
      </c>
      <c r="V111" s="43"/>
      <c r="W111" s="40" t="s">
        <v>43</v>
      </c>
      <c r="X111" s="40" t="s">
        <v>1061</v>
      </c>
      <c r="Y111" s="40" t="s">
        <v>985</v>
      </c>
      <c r="Z111" s="40" t="s">
        <v>567</v>
      </c>
      <c r="AA111" s="40" t="s">
        <v>987</v>
      </c>
      <c r="AB111" s="23"/>
      <c r="AC111" s="23"/>
      <c r="AD111" s="44"/>
    </row>
    <row r="112">
      <c r="A112" s="40" t="s">
        <v>1062</v>
      </c>
      <c r="B112" s="40" t="s">
        <v>1063</v>
      </c>
      <c r="C112" s="40" t="s">
        <v>971</v>
      </c>
      <c r="D112" s="40" t="s">
        <v>972</v>
      </c>
      <c r="E112" s="40" t="s">
        <v>1064</v>
      </c>
      <c r="F112" s="40" t="s">
        <v>1065</v>
      </c>
      <c r="G112" s="40" t="s">
        <v>58</v>
      </c>
      <c r="H112" s="41" t="s">
        <v>1066</v>
      </c>
      <c r="I112" s="37" t="s">
        <v>1067</v>
      </c>
      <c r="J112" s="40" t="s">
        <v>1068</v>
      </c>
      <c r="K112" s="40" t="s">
        <v>37</v>
      </c>
      <c r="L112" s="40" t="s">
        <v>1069</v>
      </c>
      <c r="M112" s="40" t="s">
        <v>430</v>
      </c>
      <c r="N112" s="40" t="s">
        <v>980</v>
      </c>
      <c r="O112" s="40" t="s">
        <v>1070</v>
      </c>
      <c r="P112" s="40" t="s">
        <v>1071</v>
      </c>
      <c r="Q112" s="40" t="s">
        <v>982</v>
      </c>
      <c r="R112" s="40" t="s">
        <v>983</v>
      </c>
      <c r="S112" s="40" t="s">
        <v>1068</v>
      </c>
      <c r="T112" s="40" t="s">
        <v>45</v>
      </c>
      <c r="U112" s="40" t="s">
        <v>43</v>
      </c>
      <c r="V112" s="43"/>
      <c r="W112" s="40" t="s">
        <v>43</v>
      </c>
      <c r="X112" s="40" t="s">
        <v>984</v>
      </c>
      <c r="Y112" s="40" t="s">
        <v>985</v>
      </c>
      <c r="Z112" s="40" t="s">
        <v>986</v>
      </c>
      <c r="AA112" s="40" t="s">
        <v>1072</v>
      </c>
      <c r="AB112" s="23"/>
      <c r="AC112" s="23"/>
      <c r="AD112" s="44"/>
    </row>
    <row r="113">
      <c r="A113" s="40" t="s">
        <v>1073</v>
      </c>
      <c r="B113" s="40" t="s">
        <v>1074</v>
      </c>
      <c r="C113" s="40" t="s">
        <v>971</v>
      </c>
      <c r="D113" s="40" t="s">
        <v>972</v>
      </c>
      <c r="E113" s="40" t="s">
        <v>1075</v>
      </c>
      <c r="F113" s="40" t="s">
        <v>1076</v>
      </c>
      <c r="G113" s="40" t="s">
        <v>253</v>
      </c>
      <c r="H113" s="41" t="s">
        <v>1077</v>
      </c>
      <c r="I113" s="37" t="s">
        <v>1078</v>
      </c>
      <c r="J113" s="40" t="s">
        <v>1079</v>
      </c>
      <c r="K113" s="40" t="s">
        <v>37</v>
      </c>
      <c r="L113" s="40" t="s">
        <v>1080</v>
      </c>
      <c r="M113" s="40" t="s">
        <v>1081</v>
      </c>
      <c r="N113" s="40" t="s">
        <v>980</v>
      </c>
      <c r="O113" s="42">
        <v>0.0</v>
      </c>
      <c r="P113" s="40" t="s">
        <v>1082</v>
      </c>
      <c r="Q113" s="40" t="s">
        <v>982</v>
      </c>
      <c r="R113" s="40" t="s">
        <v>983</v>
      </c>
      <c r="S113" s="40" t="s">
        <v>1079</v>
      </c>
      <c r="T113" s="40" t="s">
        <v>45</v>
      </c>
      <c r="U113" s="40" t="s">
        <v>43</v>
      </c>
      <c r="V113" s="43"/>
      <c r="W113" s="40" t="s">
        <v>43</v>
      </c>
      <c r="X113" s="40" t="s">
        <v>984</v>
      </c>
      <c r="Y113" s="40" t="s">
        <v>985</v>
      </c>
      <c r="Z113" s="40" t="s">
        <v>986</v>
      </c>
      <c r="AA113" s="40" t="s">
        <v>987</v>
      </c>
      <c r="AB113" s="23"/>
      <c r="AC113" s="23"/>
      <c r="AD113" s="44"/>
    </row>
    <row r="114">
      <c r="A114" s="40" t="s">
        <v>1083</v>
      </c>
      <c r="B114" s="40" t="s">
        <v>1084</v>
      </c>
      <c r="C114" s="40" t="s">
        <v>971</v>
      </c>
      <c r="D114" s="40" t="s">
        <v>972</v>
      </c>
      <c r="E114" s="40" t="s">
        <v>1085</v>
      </c>
      <c r="F114" s="40" t="s">
        <v>1086</v>
      </c>
      <c r="G114" s="40" t="s">
        <v>33</v>
      </c>
      <c r="H114" s="41" t="s">
        <v>1087</v>
      </c>
      <c r="I114" s="37" t="s">
        <v>1088</v>
      </c>
      <c r="J114" s="40" t="s">
        <v>1089</v>
      </c>
      <c r="K114" s="40" t="s">
        <v>37</v>
      </c>
      <c r="L114" s="40" t="s">
        <v>1009</v>
      </c>
      <c r="M114" s="40" t="s">
        <v>1090</v>
      </c>
      <c r="N114" s="40" t="s">
        <v>980</v>
      </c>
      <c r="O114" s="40" t="s">
        <v>1070</v>
      </c>
      <c r="P114" s="40" t="s">
        <v>1091</v>
      </c>
      <c r="Q114" s="40" t="s">
        <v>1070</v>
      </c>
      <c r="R114" s="40" t="s">
        <v>43</v>
      </c>
      <c r="S114" s="40" t="s">
        <v>1089</v>
      </c>
      <c r="T114" s="40" t="s">
        <v>69</v>
      </c>
      <c r="U114" s="40" t="s">
        <v>70</v>
      </c>
      <c r="V114" s="45">
        <v>45664.0</v>
      </c>
      <c r="W114" s="40" t="s">
        <v>566</v>
      </c>
      <c r="X114" s="40" t="s">
        <v>1092</v>
      </c>
      <c r="Y114" s="40" t="s">
        <v>985</v>
      </c>
      <c r="Z114" s="40" t="s">
        <v>567</v>
      </c>
      <c r="AA114" s="40" t="s">
        <v>1093</v>
      </c>
      <c r="AB114" s="23"/>
      <c r="AC114" s="23"/>
      <c r="AD114" s="44"/>
    </row>
    <row r="115">
      <c r="A115" s="40" t="s">
        <v>1094</v>
      </c>
      <c r="B115" s="40" t="s">
        <v>1095</v>
      </c>
      <c r="C115" s="40" t="s">
        <v>971</v>
      </c>
      <c r="D115" s="40" t="s">
        <v>972</v>
      </c>
      <c r="E115" s="40" t="s">
        <v>1096</v>
      </c>
      <c r="F115" s="40" t="s">
        <v>1097</v>
      </c>
      <c r="G115" s="40" t="s">
        <v>33</v>
      </c>
      <c r="H115" s="41" t="s">
        <v>1098</v>
      </c>
      <c r="I115" s="37" t="s">
        <v>1099</v>
      </c>
      <c r="J115" s="40" t="s">
        <v>1100</v>
      </c>
      <c r="K115" s="40" t="s">
        <v>37</v>
      </c>
      <c r="L115" s="40" t="s">
        <v>1101</v>
      </c>
      <c r="M115" s="40" t="s">
        <v>1070</v>
      </c>
      <c r="N115" s="40" t="s">
        <v>1102</v>
      </c>
      <c r="O115" s="42">
        <v>20000.0</v>
      </c>
      <c r="P115" s="40" t="s">
        <v>1103</v>
      </c>
      <c r="Q115" s="40" t="s">
        <v>1104</v>
      </c>
      <c r="R115" s="40" t="s">
        <v>1104</v>
      </c>
      <c r="S115" s="40" t="s">
        <v>1100</v>
      </c>
      <c r="T115" s="40" t="s">
        <v>45</v>
      </c>
      <c r="U115" s="40" t="s">
        <v>43</v>
      </c>
      <c r="V115" s="43"/>
      <c r="W115" s="40" t="s">
        <v>43</v>
      </c>
      <c r="X115" s="40" t="s">
        <v>984</v>
      </c>
      <c r="Y115" s="40" t="s">
        <v>985</v>
      </c>
      <c r="Z115" s="40" t="s">
        <v>986</v>
      </c>
      <c r="AA115" s="40" t="s">
        <v>987</v>
      </c>
      <c r="AB115" s="23"/>
      <c r="AC115" s="23"/>
      <c r="AD115" s="44"/>
    </row>
    <row r="116">
      <c r="A116" s="40" t="s">
        <v>1105</v>
      </c>
      <c r="B116" s="40" t="s">
        <v>1106</v>
      </c>
      <c r="C116" s="40" t="s">
        <v>971</v>
      </c>
      <c r="D116" s="40" t="s">
        <v>972</v>
      </c>
      <c r="E116" s="40" t="s">
        <v>1107</v>
      </c>
      <c r="F116" s="40" t="s">
        <v>1108</v>
      </c>
      <c r="G116" s="40" t="s">
        <v>118</v>
      </c>
      <c r="H116" s="41" t="s">
        <v>1109</v>
      </c>
      <c r="I116" s="37" t="s">
        <v>1110</v>
      </c>
      <c r="J116" s="40" t="s">
        <v>1111</v>
      </c>
      <c r="K116" s="40" t="s">
        <v>37</v>
      </c>
      <c r="L116" s="40" t="s">
        <v>1112</v>
      </c>
      <c r="M116" s="40" t="s">
        <v>1113</v>
      </c>
      <c r="N116" s="40" t="s">
        <v>1114</v>
      </c>
      <c r="O116" s="42">
        <v>35000.0</v>
      </c>
      <c r="P116" s="40" t="s">
        <v>1115</v>
      </c>
      <c r="Q116" s="40" t="s">
        <v>1070</v>
      </c>
      <c r="R116" s="40" t="s">
        <v>43</v>
      </c>
      <c r="S116" s="40" t="s">
        <v>1111</v>
      </c>
      <c r="T116" s="40" t="s">
        <v>69</v>
      </c>
      <c r="U116" s="40" t="s">
        <v>70</v>
      </c>
      <c r="V116" s="45">
        <v>45627.0</v>
      </c>
      <c r="W116" s="40" t="s">
        <v>566</v>
      </c>
      <c r="X116" s="40" t="s">
        <v>1116</v>
      </c>
      <c r="Y116" s="40" t="s">
        <v>985</v>
      </c>
      <c r="Z116" s="40" t="s">
        <v>567</v>
      </c>
      <c r="AA116" s="40" t="s">
        <v>1117</v>
      </c>
      <c r="AB116" s="23"/>
      <c r="AC116" s="23"/>
      <c r="AD116" s="44"/>
    </row>
    <row r="117">
      <c r="A117" s="40" t="s">
        <v>1118</v>
      </c>
      <c r="B117" s="40" t="s">
        <v>1119</v>
      </c>
      <c r="C117" s="40" t="s">
        <v>971</v>
      </c>
      <c r="D117" s="40" t="s">
        <v>972</v>
      </c>
      <c r="E117" s="40" t="s">
        <v>1096</v>
      </c>
      <c r="F117" s="40" t="s">
        <v>1120</v>
      </c>
      <c r="G117" s="40" t="s">
        <v>118</v>
      </c>
      <c r="H117" s="41" t="s">
        <v>1121</v>
      </c>
      <c r="I117" s="37" t="s">
        <v>1122</v>
      </c>
      <c r="J117" s="40" t="s">
        <v>1123</v>
      </c>
      <c r="K117" s="40" t="s">
        <v>1124</v>
      </c>
      <c r="L117" s="40" t="s">
        <v>93</v>
      </c>
      <c r="M117" s="40" t="s">
        <v>1125</v>
      </c>
      <c r="N117" s="40" t="s">
        <v>1126</v>
      </c>
      <c r="O117" s="42">
        <v>35000.0</v>
      </c>
      <c r="P117" s="40" t="s">
        <v>1127</v>
      </c>
      <c r="Q117" s="40" t="s">
        <v>1128</v>
      </c>
      <c r="R117" s="40" t="s">
        <v>1129</v>
      </c>
      <c r="S117" s="40" t="s">
        <v>1130</v>
      </c>
      <c r="T117" s="40" t="s">
        <v>69</v>
      </c>
      <c r="U117" s="40" t="s">
        <v>70</v>
      </c>
      <c r="V117" s="45">
        <v>45627.0</v>
      </c>
      <c r="W117" s="40" t="s">
        <v>566</v>
      </c>
      <c r="X117" s="40" t="s">
        <v>1131</v>
      </c>
      <c r="Y117" s="40" t="s">
        <v>985</v>
      </c>
      <c r="Z117" s="40" t="s">
        <v>567</v>
      </c>
      <c r="AA117" s="40" t="s">
        <v>1132</v>
      </c>
      <c r="AB117" s="23"/>
      <c r="AC117" s="23"/>
      <c r="AD117" s="44"/>
    </row>
    <row r="118">
      <c r="A118" s="40" t="s">
        <v>1133</v>
      </c>
      <c r="B118" s="40" t="s">
        <v>1134</v>
      </c>
      <c r="C118" s="40" t="s">
        <v>971</v>
      </c>
      <c r="D118" s="40" t="s">
        <v>972</v>
      </c>
      <c r="E118" s="40" t="s">
        <v>1135</v>
      </c>
      <c r="F118" s="40" t="s">
        <v>1136</v>
      </c>
      <c r="G118" s="40" t="s">
        <v>58</v>
      </c>
      <c r="H118" s="41" t="s">
        <v>1137</v>
      </c>
      <c r="I118" s="37" t="s">
        <v>1138</v>
      </c>
      <c r="J118" s="40" t="s">
        <v>1139</v>
      </c>
      <c r="K118" s="40" t="s">
        <v>37</v>
      </c>
      <c r="L118" s="40" t="s">
        <v>1140</v>
      </c>
      <c r="M118" s="40" t="s">
        <v>1141</v>
      </c>
      <c r="N118" s="40" t="s">
        <v>1142</v>
      </c>
      <c r="O118" s="42">
        <v>30000.0</v>
      </c>
      <c r="P118" s="40" t="s">
        <v>1143</v>
      </c>
      <c r="Q118" s="40" t="s">
        <v>1070</v>
      </c>
      <c r="R118" s="40" t="s">
        <v>43</v>
      </c>
      <c r="S118" s="40" t="s">
        <v>1144</v>
      </c>
      <c r="T118" s="40" t="s">
        <v>69</v>
      </c>
      <c r="U118" s="40" t="s">
        <v>70</v>
      </c>
      <c r="V118" s="45">
        <v>45627.0</v>
      </c>
      <c r="W118" s="40" t="s">
        <v>566</v>
      </c>
      <c r="X118" s="40" t="s">
        <v>1145</v>
      </c>
      <c r="Y118" s="40" t="s">
        <v>985</v>
      </c>
      <c r="Z118" s="40" t="s">
        <v>567</v>
      </c>
      <c r="AA118" s="40" t="s">
        <v>1117</v>
      </c>
      <c r="AB118" s="23"/>
      <c r="AC118" s="23"/>
      <c r="AD118" s="44"/>
    </row>
    <row r="119">
      <c r="A119" s="40" t="s">
        <v>1146</v>
      </c>
      <c r="B119" s="40" t="s">
        <v>1147</v>
      </c>
      <c r="C119" s="40" t="s">
        <v>971</v>
      </c>
      <c r="D119" s="40" t="s">
        <v>972</v>
      </c>
      <c r="E119" s="40" t="s">
        <v>1148</v>
      </c>
      <c r="F119" s="40" t="s">
        <v>1149</v>
      </c>
      <c r="G119" s="40" t="s">
        <v>58</v>
      </c>
      <c r="H119" s="41" t="s">
        <v>1150</v>
      </c>
      <c r="I119" s="37" t="s">
        <v>1151</v>
      </c>
      <c r="J119" s="40" t="s">
        <v>1152</v>
      </c>
      <c r="K119" s="40" t="s">
        <v>1124</v>
      </c>
      <c r="L119" s="40" t="s">
        <v>1153</v>
      </c>
      <c r="M119" s="40" t="s">
        <v>1154</v>
      </c>
      <c r="N119" s="40" t="s">
        <v>1155</v>
      </c>
      <c r="O119" s="42">
        <v>20000.0</v>
      </c>
      <c r="P119" s="40" t="s">
        <v>1156</v>
      </c>
      <c r="Q119" s="40" t="s">
        <v>160</v>
      </c>
      <c r="R119" s="40" t="s">
        <v>160</v>
      </c>
      <c r="S119" s="40" t="s">
        <v>1152</v>
      </c>
      <c r="T119" s="40" t="s">
        <v>45</v>
      </c>
      <c r="U119" s="40" t="s">
        <v>43</v>
      </c>
      <c r="V119" s="43"/>
      <c r="W119" s="40" t="s">
        <v>43</v>
      </c>
      <c r="X119" s="40" t="s">
        <v>984</v>
      </c>
      <c r="Y119" s="40" t="s">
        <v>985</v>
      </c>
      <c r="Z119" s="40" t="s">
        <v>986</v>
      </c>
      <c r="AA119" s="40" t="s">
        <v>1157</v>
      </c>
      <c r="AB119" s="23"/>
      <c r="AC119" s="23"/>
      <c r="AD119" s="44"/>
    </row>
    <row r="120">
      <c r="A120" s="40" t="s">
        <v>1158</v>
      </c>
      <c r="B120" s="40" t="s">
        <v>1159</v>
      </c>
      <c r="C120" s="40" t="s">
        <v>971</v>
      </c>
      <c r="D120" s="40" t="s">
        <v>972</v>
      </c>
      <c r="E120" s="40" t="s">
        <v>1160</v>
      </c>
      <c r="F120" s="40" t="s">
        <v>1161</v>
      </c>
      <c r="G120" s="40" t="s">
        <v>1162</v>
      </c>
      <c r="H120" s="41" t="s">
        <v>1163</v>
      </c>
      <c r="I120" s="37" t="s">
        <v>1164</v>
      </c>
      <c r="J120" s="40" t="s">
        <v>1165</v>
      </c>
      <c r="K120" s="40" t="s">
        <v>37</v>
      </c>
      <c r="L120" s="40" t="s">
        <v>1166</v>
      </c>
      <c r="M120" s="40" t="s">
        <v>1167</v>
      </c>
      <c r="N120" s="40" t="s">
        <v>1168</v>
      </c>
      <c r="O120" s="42">
        <v>30000.0</v>
      </c>
      <c r="P120" s="40" t="s">
        <v>1169</v>
      </c>
      <c r="Q120" s="40" t="s">
        <v>44</v>
      </c>
      <c r="R120" s="40" t="s">
        <v>1170</v>
      </c>
      <c r="S120" s="40" t="s">
        <v>1165</v>
      </c>
      <c r="T120" s="40" t="s">
        <v>45</v>
      </c>
      <c r="U120" s="40" t="s">
        <v>43</v>
      </c>
      <c r="V120" s="43"/>
      <c r="W120" s="40" t="s">
        <v>43</v>
      </c>
      <c r="X120" s="40" t="s">
        <v>984</v>
      </c>
      <c r="Y120" s="40" t="s">
        <v>985</v>
      </c>
      <c r="Z120" s="40" t="s">
        <v>986</v>
      </c>
      <c r="AA120" s="40" t="s">
        <v>1171</v>
      </c>
      <c r="AB120" s="23"/>
      <c r="AC120" s="23"/>
      <c r="AD120" s="44"/>
    </row>
    <row r="121">
      <c r="A121" s="40" t="s">
        <v>1172</v>
      </c>
      <c r="B121" s="40" t="s">
        <v>1173</v>
      </c>
      <c r="C121" s="40" t="s">
        <v>971</v>
      </c>
      <c r="D121" s="40" t="s">
        <v>972</v>
      </c>
      <c r="E121" s="40" t="s">
        <v>1174</v>
      </c>
      <c r="F121" s="40" t="s">
        <v>1175</v>
      </c>
      <c r="G121" s="40" t="s">
        <v>33</v>
      </c>
      <c r="H121" s="41" t="s">
        <v>1176</v>
      </c>
      <c r="I121" s="37" t="s">
        <v>1177</v>
      </c>
      <c r="J121" s="40" t="s">
        <v>1178</v>
      </c>
      <c r="K121" s="40" t="s">
        <v>37</v>
      </c>
      <c r="L121" s="40" t="s">
        <v>1179</v>
      </c>
      <c r="M121" s="40" t="s">
        <v>1180</v>
      </c>
      <c r="N121" s="40" t="s">
        <v>1155</v>
      </c>
      <c r="O121" s="42">
        <v>15000.0</v>
      </c>
      <c r="P121" s="40" t="s">
        <v>1181</v>
      </c>
      <c r="Q121" s="40" t="s">
        <v>1182</v>
      </c>
      <c r="R121" s="40" t="s">
        <v>1182</v>
      </c>
      <c r="S121" s="40" t="s">
        <v>1178</v>
      </c>
      <c r="T121" s="40" t="s">
        <v>45</v>
      </c>
      <c r="U121" s="40" t="s">
        <v>43</v>
      </c>
      <c r="V121" s="43"/>
      <c r="W121" s="40" t="s">
        <v>43</v>
      </c>
      <c r="X121" s="40" t="s">
        <v>984</v>
      </c>
      <c r="Y121" s="40" t="s">
        <v>985</v>
      </c>
      <c r="Z121" s="40" t="s">
        <v>986</v>
      </c>
      <c r="AA121" s="40" t="s">
        <v>987</v>
      </c>
      <c r="AB121" s="23"/>
      <c r="AC121" s="23"/>
      <c r="AD121" s="44"/>
    </row>
    <row r="122">
      <c r="A122" s="40" t="s">
        <v>1183</v>
      </c>
      <c r="B122" s="40" t="s">
        <v>1184</v>
      </c>
      <c r="C122" s="40" t="s">
        <v>971</v>
      </c>
      <c r="D122" s="40" t="s">
        <v>972</v>
      </c>
      <c r="E122" s="40" t="s">
        <v>1185</v>
      </c>
      <c r="F122" s="40" t="s">
        <v>1186</v>
      </c>
      <c r="G122" s="40" t="s">
        <v>58</v>
      </c>
      <c r="H122" s="41" t="s">
        <v>1187</v>
      </c>
      <c r="I122" s="37" t="s">
        <v>1188</v>
      </c>
      <c r="J122" s="40" t="s">
        <v>1189</v>
      </c>
      <c r="K122" s="40" t="s">
        <v>37</v>
      </c>
      <c r="L122" s="40" t="s">
        <v>1190</v>
      </c>
      <c r="M122" s="40" t="s">
        <v>1191</v>
      </c>
      <c r="N122" s="40" t="s">
        <v>1192</v>
      </c>
      <c r="O122" s="42">
        <v>15000.0</v>
      </c>
      <c r="P122" s="40" t="s">
        <v>1193</v>
      </c>
      <c r="Q122" s="40" t="s">
        <v>1070</v>
      </c>
      <c r="R122" s="40" t="s">
        <v>43</v>
      </c>
      <c r="S122" s="40" t="s">
        <v>43</v>
      </c>
      <c r="T122" s="40" t="s">
        <v>45</v>
      </c>
      <c r="U122" s="40" t="s">
        <v>43</v>
      </c>
      <c r="V122" s="43"/>
      <c r="W122" s="40" t="s">
        <v>43</v>
      </c>
      <c r="X122" s="40" t="s">
        <v>1061</v>
      </c>
      <c r="Y122" s="40" t="s">
        <v>985</v>
      </c>
      <c r="Z122" s="40" t="s">
        <v>567</v>
      </c>
      <c r="AA122" s="40" t="s">
        <v>1194</v>
      </c>
      <c r="AB122" s="23"/>
      <c r="AC122" s="23"/>
      <c r="AD122" s="44"/>
    </row>
    <row r="123">
      <c r="A123" s="40" t="s">
        <v>1195</v>
      </c>
      <c r="B123" s="40" t="s">
        <v>1196</v>
      </c>
      <c r="C123" s="40" t="s">
        <v>971</v>
      </c>
      <c r="D123" s="40" t="s">
        <v>972</v>
      </c>
      <c r="E123" s="40" t="s">
        <v>1197</v>
      </c>
      <c r="F123" s="40" t="s">
        <v>1198</v>
      </c>
      <c r="G123" s="40" t="s">
        <v>253</v>
      </c>
      <c r="H123" s="41" t="s">
        <v>1199</v>
      </c>
      <c r="I123" s="37" t="s">
        <v>1200</v>
      </c>
      <c r="J123" s="40" t="s">
        <v>1201</v>
      </c>
      <c r="K123" s="40" t="s">
        <v>1202</v>
      </c>
      <c r="L123" s="40" t="s">
        <v>1203</v>
      </c>
      <c r="M123" s="40" t="s">
        <v>1070</v>
      </c>
      <c r="N123" s="40" t="s">
        <v>980</v>
      </c>
      <c r="O123" s="40" t="s">
        <v>1070</v>
      </c>
      <c r="P123" s="40" t="s">
        <v>1204</v>
      </c>
      <c r="Q123" s="40" t="s">
        <v>1205</v>
      </c>
      <c r="R123" s="40" t="s">
        <v>1205</v>
      </c>
      <c r="S123" s="40" t="s">
        <v>1201</v>
      </c>
      <c r="T123" s="40" t="s">
        <v>45</v>
      </c>
      <c r="U123" s="40" t="s">
        <v>43</v>
      </c>
      <c r="V123" s="43"/>
      <c r="W123" s="40" t="s">
        <v>43</v>
      </c>
      <c r="X123" s="40" t="s">
        <v>984</v>
      </c>
      <c r="Y123" s="40" t="s">
        <v>985</v>
      </c>
      <c r="Z123" s="40" t="s">
        <v>986</v>
      </c>
      <c r="AA123" s="40" t="s">
        <v>987</v>
      </c>
      <c r="AB123" s="23"/>
      <c r="AC123" s="23"/>
      <c r="AD123" s="44"/>
    </row>
    <row r="124">
      <c r="A124" s="40" t="s">
        <v>1206</v>
      </c>
      <c r="B124" s="40" t="s">
        <v>1207</v>
      </c>
      <c r="C124" s="40" t="s">
        <v>971</v>
      </c>
      <c r="D124" s="40" t="s">
        <v>972</v>
      </c>
      <c r="E124" s="40" t="s">
        <v>1096</v>
      </c>
      <c r="F124" s="40" t="s">
        <v>1208</v>
      </c>
      <c r="G124" s="40" t="s">
        <v>253</v>
      </c>
      <c r="H124" s="41" t="s">
        <v>1209</v>
      </c>
      <c r="I124" s="37" t="s">
        <v>1210</v>
      </c>
      <c r="J124" s="40" t="s">
        <v>1211</v>
      </c>
      <c r="K124" s="40" t="s">
        <v>1202</v>
      </c>
      <c r="L124" s="40" t="s">
        <v>1212</v>
      </c>
      <c r="M124" s="40" t="s">
        <v>1070</v>
      </c>
      <c r="N124" s="40" t="s">
        <v>980</v>
      </c>
      <c r="O124" s="42">
        <v>0.0</v>
      </c>
      <c r="P124" s="40" t="s">
        <v>1213</v>
      </c>
      <c r="Q124" s="40" t="s">
        <v>434</v>
      </c>
      <c r="R124" s="40" t="s">
        <v>1214</v>
      </c>
      <c r="S124" s="40" t="s">
        <v>1211</v>
      </c>
      <c r="T124" s="40" t="s">
        <v>45</v>
      </c>
      <c r="U124" s="40" t="s">
        <v>43</v>
      </c>
      <c r="V124" s="43"/>
      <c r="W124" s="40" t="s">
        <v>43</v>
      </c>
      <c r="X124" s="40" t="s">
        <v>984</v>
      </c>
      <c r="Y124" s="40" t="s">
        <v>985</v>
      </c>
      <c r="Z124" s="40" t="s">
        <v>986</v>
      </c>
      <c r="AA124" s="40" t="s">
        <v>987</v>
      </c>
      <c r="AB124" s="23"/>
      <c r="AC124" s="23"/>
      <c r="AD124" s="44"/>
    </row>
    <row r="125">
      <c r="A125" s="40" t="s">
        <v>1215</v>
      </c>
      <c r="B125" s="40" t="s">
        <v>1216</v>
      </c>
      <c r="C125" s="40" t="s">
        <v>971</v>
      </c>
      <c r="D125" s="40" t="s">
        <v>972</v>
      </c>
      <c r="E125" s="40" t="s">
        <v>1096</v>
      </c>
      <c r="F125" s="40" t="s">
        <v>1217</v>
      </c>
      <c r="G125" s="40" t="s">
        <v>253</v>
      </c>
      <c r="H125" s="41" t="s">
        <v>1218</v>
      </c>
      <c r="I125" s="37" t="s">
        <v>1219</v>
      </c>
      <c r="J125" s="40" t="s">
        <v>1220</v>
      </c>
      <c r="K125" s="40" t="s">
        <v>1202</v>
      </c>
      <c r="L125" s="40" t="s">
        <v>1212</v>
      </c>
      <c r="M125" s="40" t="s">
        <v>1070</v>
      </c>
      <c r="N125" s="40" t="s">
        <v>980</v>
      </c>
      <c r="O125" s="42">
        <v>0.0</v>
      </c>
      <c r="P125" s="40" t="s">
        <v>1213</v>
      </c>
      <c r="Q125" s="40" t="s">
        <v>434</v>
      </c>
      <c r="R125" s="40" t="s">
        <v>1214</v>
      </c>
      <c r="S125" s="40" t="s">
        <v>1220</v>
      </c>
      <c r="T125" s="40" t="s">
        <v>45</v>
      </c>
      <c r="U125" s="40" t="s">
        <v>43</v>
      </c>
      <c r="V125" s="43"/>
      <c r="W125" s="40" t="s">
        <v>43</v>
      </c>
      <c r="X125" s="40" t="s">
        <v>984</v>
      </c>
      <c r="Y125" s="40" t="s">
        <v>985</v>
      </c>
      <c r="Z125" s="40" t="s">
        <v>986</v>
      </c>
      <c r="AA125" s="40" t="s">
        <v>987</v>
      </c>
      <c r="AB125" s="23"/>
      <c r="AC125" s="23"/>
      <c r="AD125" s="44"/>
    </row>
    <row r="126">
      <c r="A126" s="40" t="s">
        <v>1221</v>
      </c>
      <c r="B126" s="40" t="s">
        <v>1222</v>
      </c>
      <c r="C126" s="40" t="s">
        <v>971</v>
      </c>
      <c r="D126" s="40" t="s">
        <v>972</v>
      </c>
      <c r="E126" s="40" t="s">
        <v>1223</v>
      </c>
      <c r="F126" s="40" t="s">
        <v>1224</v>
      </c>
      <c r="G126" s="40" t="s">
        <v>33</v>
      </c>
      <c r="H126" s="41" t="s">
        <v>1225</v>
      </c>
      <c r="I126" s="37" t="s">
        <v>1226</v>
      </c>
      <c r="J126" s="40" t="s">
        <v>1227</v>
      </c>
      <c r="K126" s="40" t="s">
        <v>37</v>
      </c>
      <c r="L126" s="40" t="s">
        <v>1228</v>
      </c>
      <c r="M126" s="40" t="s">
        <v>1229</v>
      </c>
      <c r="N126" s="40" t="s">
        <v>1102</v>
      </c>
      <c r="O126" s="42">
        <v>12500.0</v>
      </c>
      <c r="P126" s="40" t="s">
        <v>1230</v>
      </c>
      <c r="Q126" s="40" t="s">
        <v>1070</v>
      </c>
      <c r="R126" s="40" t="s">
        <v>43</v>
      </c>
      <c r="S126" s="40" t="s">
        <v>43</v>
      </c>
      <c r="T126" s="40" t="s">
        <v>45</v>
      </c>
      <c r="U126" s="40" t="s">
        <v>43</v>
      </c>
      <c r="V126" s="43"/>
      <c r="W126" s="40" t="s">
        <v>43</v>
      </c>
      <c r="X126" s="40" t="s">
        <v>1231</v>
      </c>
      <c r="Y126" s="40" t="s">
        <v>985</v>
      </c>
      <c r="Z126" s="40" t="s">
        <v>567</v>
      </c>
      <c r="AA126" s="40" t="s">
        <v>987</v>
      </c>
      <c r="AB126" s="23"/>
      <c r="AC126" s="23"/>
      <c r="AD126" s="44"/>
    </row>
    <row r="127">
      <c r="A127" s="40" t="s">
        <v>1232</v>
      </c>
      <c r="B127" s="40" t="s">
        <v>1233</v>
      </c>
      <c r="C127" s="40" t="s">
        <v>971</v>
      </c>
      <c r="D127" s="40" t="s">
        <v>972</v>
      </c>
      <c r="E127" s="40" t="s">
        <v>1234</v>
      </c>
      <c r="F127" s="40" t="s">
        <v>1235</v>
      </c>
      <c r="G127" s="40" t="s">
        <v>253</v>
      </c>
      <c r="H127" s="41" t="s">
        <v>1236</v>
      </c>
      <c r="I127" s="37" t="s">
        <v>1237</v>
      </c>
      <c r="J127" s="40" t="s">
        <v>1238</v>
      </c>
      <c r="K127" s="40" t="s">
        <v>1202</v>
      </c>
      <c r="L127" s="40" t="s">
        <v>1239</v>
      </c>
      <c r="M127" s="40" t="s">
        <v>1070</v>
      </c>
      <c r="N127" s="40" t="s">
        <v>1240</v>
      </c>
      <c r="O127" s="40" t="s">
        <v>1070</v>
      </c>
      <c r="P127" s="40" t="s">
        <v>1241</v>
      </c>
      <c r="Q127" s="40" t="s">
        <v>1242</v>
      </c>
      <c r="R127" s="40" t="s">
        <v>1104</v>
      </c>
      <c r="S127" s="40" t="s">
        <v>1238</v>
      </c>
      <c r="T127" s="40" t="s">
        <v>45</v>
      </c>
      <c r="U127" s="40" t="s">
        <v>43</v>
      </c>
      <c r="V127" s="43"/>
      <c r="W127" s="40" t="s">
        <v>43</v>
      </c>
      <c r="X127" s="40" t="s">
        <v>984</v>
      </c>
      <c r="Y127" s="40" t="s">
        <v>985</v>
      </c>
      <c r="Z127" s="40" t="s">
        <v>986</v>
      </c>
      <c r="AA127" s="40" t="s">
        <v>987</v>
      </c>
      <c r="AB127" s="23"/>
      <c r="AC127" s="23"/>
      <c r="AD127" s="44"/>
    </row>
    <row r="128">
      <c r="A128" s="40" t="s">
        <v>1243</v>
      </c>
      <c r="B128" s="40" t="s">
        <v>1244</v>
      </c>
      <c r="C128" s="40" t="s">
        <v>971</v>
      </c>
      <c r="D128" s="40" t="s">
        <v>972</v>
      </c>
      <c r="E128" s="40" t="s">
        <v>1245</v>
      </c>
      <c r="F128" s="40" t="s">
        <v>1246</v>
      </c>
      <c r="G128" s="40" t="s">
        <v>253</v>
      </c>
      <c r="H128" s="41" t="s">
        <v>1247</v>
      </c>
      <c r="I128" s="37" t="s">
        <v>1248</v>
      </c>
      <c r="J128" s="40" t="s">
        <v>1249</v>
      </c>
      <c r="K128" s="40" t="s">
        <v>1202</v>
      </c>
      <c r="L128" s="40" t="s">
        <v>1239</v>
      </c>
      <c r="M128" s="40" t="s">
        <v>1070</v>
      </c>
      <c r="N128" s="40" t="s">
        <v>980</v>
      </c>
      <c r="O128" s="42">
        <v>0.0</v>
      </c>
      <c r="P128" s="40" t="s">
        <v>1250</v>
      </c>
      <c r="Q128" s="40" t="s">
        <v>982</v>
      </c>
      <c r="R128" s="40" t="s">
        <v>983</v>
      </c>
      <c r="S128" s="40" t="s">
        <v>1249</v>
      </c>
      <c r="T128" s="40" t="s">
        <v>45</v>
      </c>
      <c r="U128" s="40" t="s">
        <v>43</v>
      </c>
      <c r="V128" s="43"/>
      <c r="W128" s="40" t="s">
        <v>43</v>
      </c>
      <c r="X128" s="40" t="s">
        <v>984</v>
      </c>
      <c r="Y128" s="40" t="s">
        <v>985</v>
      </c>
      <c r="Z128" s="40" t="s">
        <v>986</v>
      </c>
      <c r="AA128" s="40" t="s">
        <v>987</v>
      </c>
      <c r="AB128" s="23"/>
      <c r="AC128" s="23"/>
      <c r="AD128" s="44"/>
    </row>
    <row r="129">
      <c r="A129" s="40" t="s">
        <v>1251</v>
      </c>
      <c r="B129" s="40" t="s">
        <v>1252</v>
      </c>
      <c r="C129" s="40" t="s">
        <v>971</v>
      </c>
      <c r="D129" s="40" t="s">
        <v>972</v>
      </c>
      <c r="E129" s="40" t="s">
        <v>1253</v>
      </c>
      <c r="F129" s="40" t="s">
        <v>1254</v>
      </c>
      <c r="G129" s="40" t="s">
        <v>253</v>
      </c>
      <c r="H129" s="41" t="s">
        <v>1255</v>
      </c>
      <c r="I129" s="37" t="s">
        <v>1256</v>
      </c>
      <c r="J129" s="40" t="s">
        <v>1257</v>
      </c>
      <c r="K129" s="40" t="s">
        <v>1202</v>
      </c>
      <c r="L129" s="40" t="s">
        <v>1239</v>
      </c>
      <c r="M129" s="40" t="s">
        <v>1070</v>
      </c>
      <c r="N129" s="40" t="s">
        <v>980</v>
      </c>
      <c r="O129" s="42">
        <v>0.0</v>
      </c>
      <c r="P129" s="40" t="s">
        <v>1250</v>
      </c>
      <c r="Q129" s="40" t="s">
        <v>982</v>
      </c>
      <c r="R129" s="40" t="s">
        <v>983</v>
      </c>
      <c r="S129" s="40" t="s">
        <v>1257</v>
      </c>
      <c r="T129" s="40" t="s">
        <v>45</v>
      </c>
      <c r="U129" s="40" t="s">
        <v>43</v>
      </c>
      <c r="V129" s="43"/>
      <c r="W129" s="40" t="s">
        <v>43</v>
      </c>
      <c r="X129" s="40" t="s">
        <v>984</v>
      </c>
      <c r="Y129" s="40" t="s">
        <v>985</v>
      </c>
      <c r="Z129" s="40" t="s">
        <v>986</v>
      </c>
      <c r="AA129" s="40" t="s">
        <v>987</v>
      </c>
      <c r="AB129" s="23"/>
      <c r="AC129" s="23"/>
      <c r="AD129" s="44"/>
    </row>
    <row r="130">
      <c r="A130" s="40" t="s">
        <v>1258</v>
      </c>
      <c r="B130" s="40" t="s">
        <v>1259</v>
      </c>
      <c r="C130" s="40" t="s">
        <v>971</v>
      </c>
      <c r="D130" s="40" t="s">
        <v>972</v>
      </c>
      <c r="E130" s="40" t="s">
        <v>1160</v>
      </c>
      <c r="F130" s="40" t="s">
        <v>1260</v>
      </c>
      <c r="G130" s="40" t="s">
        <v>33</v>
      </c>
      <c r="H130" s="41" t="s">
        <v>1261</v>
      </c>
      <c r="I130" s="37" t="s">
        <v>1262</v>
      </c>
      <c r="J130" s="40" t="s">
        <v>1189</v>
      </c>
      <c r="K130" s="40" t="s">
        <v>1263</v>
      </c>
      <c r="L130" s="40" t="s">
        <v>1153</v>
      </c>
      <c r="M130" s="40" t="s">
        <v>1264</v>
      </c>
      <c r="N130" s="40" t="s">
        <v>1240</v>
      </c>
      <c r="O130" s="40" t="s">
        <v>1070</v>
      </c>
      <c r="P130" s="40" t="s">
        <v>1156</v>
      </c>
      <c r="Q130" s="40" t="s">
        <v>174</v>
      </c>
      <c r="R130" s="40" t="s">
        <v>174</v>
      </c>
      <c r="S130" s="40" t="s">
        <v>1189</v>
      </c>
      <c r="T130" s="40" t="s">
        <v>45</v>
      </c>
      <c r="U130" s="40" t="s">
        <v>43</v>
      </c>
      <c r="V130" s="43"/>
      <c r="W130" s="40" t="s">
        <v>43</v>
      </c>
      <c r="X130" s="40" t="s">
        <v>984</v>
      </c>
      <c r="Y130" s="40" t="s">
        <v>985</v>
      </c>
      <c r="Z130" s="40" t="s">
        <v>986</v>
      </c>
      <c r="AA130" s="40" t="s">
        <v>987</v>
      </c>
      <c r="AB130" s="23"/>
      <c r="AC130" s="23"/>
      <c r="AD130" s="44"/>
    </row>
    <row r="131">
      <c r="A131" s="40" t="s">
        <v>1265</v>
      </c>
      <c r="B131" s="40" t="s">
        <v>1266</v>
      </c>
      <c r="C131" s="40" t="s">
        <v>971</v>
      </c>
      <c r="D131" s="40" t="s">
        <v>972</v>
      </c>
      <c r="E131" s="40" t="s">
        <v>990</v>
      </c>
      <c r="F131" s="40" t="s">
        <v>1267</v>
      </c>
      <c r="G131" s="40" t="s">
        <v>58</v>
      </c>
      <c r="H131" s="41" t="s">
        <v>1268</v>
      </c>
      <c r="I131" s="37" t="s">
        <v>1269</v>
      </c>
      <c r="J131" s="40" t="s">
        <v>1270</v>
      </c>
      <c r="K131" s="40" t="s">
        <v>37</v>
      </c>
      <c r="L131" s="40" t="s">
        <v>1271</v>
      </c>
      <c r="M131" s="40" t="s">
        <v>1125</v>
      </c>
      <c r="N131" s="40" t="s">
        <v>1155</v>
      </c>
      <c r="O131" s="42">
        <v>15000.0</v>
      </c>
      <c r="P131" s="40" t="s">
        <v>1272</v>
      </c>
      <c r="Q131" s="40" t="s">
        <v>1273</v>
      </c>
      <c r="R131" s="40" t="s">
        <v>1274</v>
      </c>
      <c r="S131" s="40" t="s">
        <v>1270</v>
      </c>
      <c r="T131" s="40" t="s">
        <v>578</v>
      </c>
      <c r="U131" s="40" t="s">
        <v>999</v>
      </c>
      <c r="V131" s="45">
        <v>45689.0</v>
      </c>
      <c r="W131" s="40" t="s">
        <v>37</v>
      </c>
      <c r="X131" s="40" t="s">
        <v>1275</v>
      </c>
      <c r="Y131" s="40" t="s">
        <v>985</v>
      </c>
      <c r="Z131" s="40" t="s">
        <v>567</v>
      </c>
      <c r="AA131" s="40" t="s">
        <v>1276</v>
      </c>
      <c r="AB131" s="23"/>
      <c r="AC131" s="23"/>
      <c r="AD131" s="44"/>
    </row>
    <row r="132">
      <c r="A132" s="40" t="s">
        <v>1277</v>
      </c>
      <c r="B132" s="40" t="s">
        <v>1278</v>
      </c>
      <c r="C132" s="40" t="s">
        <v>971</v>
      </c>
      <c r="D132" s="40" t="s">
        <v>972</v>
      </c>
      <c r="E132" s="40" t="s">
        <v>1223</v>
      </c>
      <c r="F132" s="40" t="s">
        <v>1279</v>
      </c>
      <c r="G132" s="40" t="s">
        <v>33</v>
      </c>
      <c r="H132" s="41" t="s">
        <v>1280</v>
      </c>
      <c r="I132" s="37" t="s">
        <v>1281</v>
      </c>
      <c r="J132" s="40" t="s">
        <v>1282</v>
      </c>
      <c r="K132" s="40" t="s">
        <v>37</v>
      </c>
      <c r="L132" s="40" t="s">
        <v>1283</v>
      </c>
      <c r="M132" s="40" t="s">
        <v>1229</v>
      </c>
      <c r="N132" s="40" t="s">
        <v>1102</v>
      </c>
      <c r="O132" s="42">
        <v>12500.0</v>
      </c>
      <c r="P132" s="40" t="s">
        <v>1284</v>
      </c>
      <c r="Q132" s="40" t="s">
        <v>1070</v>
      </c>
      <c r="R132" s="40" t="s">
        <v>43</v>
      </c>
      <c r="S132" s="40" t="s">
        <v>43</v>
      </c>
      <c r="T132" s="40" t="s">
        <v>45</v>
      </c>
      <c r="U132" s="40" t="s">
        <v>43</v>
      </c>
      <c r="V132" s="43"/>
      <c r="W132" s="40" t="s">
        <v>43</v>
      </c>
      <c r="X132" s="40" t="s">
        <v>1285</v>
      </c>
      <c r="Y132" s="40" t="s">
        <v>985</v>
      </c>
      <c r="Z132" s="40" t="s">
        <v>567</v>
      </c>
      <c r="AA132" s="40" t="s">
        <v>987</v>
      </c>
      <c r="AB132" s="23"/>
      <c r="AC132" s="23"/>
      <c r="AD132" s="44"/>
    </row>
    <row r="133">
      <c r="A133" s="40" t="s">
        <v>1286</v>
      </c>
      <c r="B133" s="40" t="s">
        <v>1287</v>
      </c>
      <c r="C133" s="40" t="s">
        <v>971</v>
      </c>
      <c r="D133" s="40" t="s">
        <v>972</v>
      </c>
      <c r="E133" s="40" t="s">
        <v>1288</v>
      </c>
      <c r="F133" s="40" t="s">
        <v>1289</v>
      </c>
      <c r="G133" s="40" t="s">
        <v>1162</v>
      </c>
      <c r="H133" s="41" t="s">
        <v>1290</v>
      </c>
      <c r="I133" s="37" t="s">
        <v>1291</v>
      </c>
      <c r="J133" s="40" t="s">
        <v>1292</v>
      </c>
      <c r="K133" s="40" t="s">
        <v>37</v>
      </c>
      <c r="L133" s="40" t="s">
        <v>1293</v>
      </c>
      <c r="M133" s="40" t="s">
        <v>1294</v>
      </c>
      <c r="N133" s="40" t="s">
        <v>1295</v>
      </c>
      <c r="O133" s="40" t="s">
        <v>1070</v>
      </c>
      <c r="P133" s="40" t="s">
        <v>1296</v>
      </c>
      <c r="Q133" s="40" t="s">
        <v>1297</v>
      </c>
      <c r="R133" s="40" t="s">
        <v>1298</v>
      </c>
      <c r="S133" s="40" t="s">
        <v>1292</v>
      </c>
      <c r="T133" s="40" t="s">
        <v>45</v>
      </c>
      <c r="U133" s="40" t="s">
        <v>43</v>
      </c>
      <c r="V133" s="43"/>
      <c r="W133" s="40" t="s">
        <v>43</v>
      </c>
      <c r="X133" s="40" t="s">
        <v>984</v>
      </c>
      <c r="Y133" s="40" t="s">
        <v>985</v>
      </c>
      <c r="Z133" s="40" t="s">
        <v>986</v>
      </c>
      <c r="AA133" s="40" t="s">
        <v>1299</v>
      </c>
      <c r="AB133" s="23"/>
      <c r="AC133" s="23"/>
      <c r="AD133" s="44"/>
    </row>
    <row r="134">
      <c r="A134" s="40" t="s">
        <v>1300</v>
      </c>
      <c r="B134" s="40" t="s">
        <v>1301</v>
      </c>
      <c r="C134" s="40" t="s">
        <v>971</v>
      </c>
      <c r="D134" s="40" t="s">
        <v>972</v>
      </c>
      <c r="E134" s="40" t="s">
        <v>1302</v>
      </c>
      <c r="F134" s="40" t="s">
        <v>1303</v>
      </c>
      <c r="G134" s="40" t="s">
        <v>253</v>
      </c>
      <c r="H134" s="41" t="s">
        <v>1304</v>
      </c>
      <c r="I134" s="37" t="s">
        <v>1305</v>
      </c>
      <c r="J134" s="40" t="s">
        <v>1306</v>
      </c>
      <c r="K134" s="40" t="s">
        <v>37</v>
      </c>
      <c r="L134" s="40" t="s">
        <v>1307</v>
      </c>
      <c r="M134" s="40" t="s">
        <v>979</v>
      </c>
      <c r="N134" s="40" t="s">
        <v>980</v>
      </c>
      <c r="O134" s="42">
        <v>0.0</v>
      </c>
      <c r="P134" s="40" t="s">
        <v>1308</v>
      </c>
      <c r="Q134" s="40" t="s">
        <v>982</v>
      </c>
      <c r="R134" s="40" t="s">
        <v>983</v>
      </c>
      <c r="S134" s="40" t="s">
        <v>1306</v>
      </c>
      <c r="T134" s="40" t="s">
        <v>45</v>
      </c>
      <c r="U134" s="40" t="s">
        <v>43</v>
      </c>
      <c r="V134" s="43"/>
      <c r="W134" s="40" t="s">
        <v>43</v>
      </c>
      <c r="X134" s="40" t="s">
        <v>984</v>
      </c>
      <c r="Y134" s="40" t="s">
        <v>985</v>
      </c>
      <c r="Z134" s="40" t="s">
        <v>986</v>
      </c>
      <c r="AA134" s="40" t="s">
        <v>987</v>
      </c>
      <c r="AB134" s="23"/>
      <c r="AC134" s="23"/>
      <c r="AD134" s="44"/>
    </row>
    <row r="135">
      <c r="A135" s="40" t="s">
        <v>1309</v>
      </c>
      <c r="B135" s="40" t="s">
        <v>1310</v>
      </c>
      <c r="C135" s="40" t="s">
        <v>971</v>
      </c>
      <c r="D135" s="40" t="s">
        <v>972</v>
      </c>
      <c r="E135" s="40" t="s">
        <v>1096</v>
      </c>
      <c r="F135" s="40" t="s">
        <v>1311</v>
      </c>
      <c r="G135" s="40" t="s">
        <v>253</v>
      </c>
      <c r="H135" s="41" t="s">
        <v>1312</v>
      </c>
      <c r="I135" s="37" t="s">
        <v>1313</v>
      </c>
      <c r="J135" s="40" t="s">
        <v>1314</v>
      </c>
      <c r="K135" s="40" t="s">
        <v>1202</v>
      </c>
      <c r="L135" s="40" t="s">
        <v>1315</v>
      </c>
      <c r="M135" s="40" t="s">
        <v>1070</v>
      </c>
      <c r="N135" s="40" t="s">
        <v>980</v>
      </c>
      <c r="O135" s="42">
        <v>0.0</v>
      </c>
      <c r="P135" s="40" t="s">
        <v>1316</v>
      </c>
      <c r="Q135" s="40" t="s">
        <v>434</v>
      </c>
      <c r="R135" s="40" t="s">
        <v>1214</v>
      </c>
      <c r="S135" s="40" t="s">
        <v>1314</v>
      </c>
      <c r="T135" s="40" t="s">
        <v>45</v>
      </c>
      <c r="U135" s="40" t="s">
        <v>43</v>
      </c>
      <c r="V135" s="43"/>
      <c r="W135" s="40" t="s">
        <v>43</v>
      </c>
      <c r="X135" s="40" t="s">
        <v>984</v>
      </c>
      <c r="Y135" s="40" t="s">
        <v>985</v>
      </c>
      <c r="Z135" s="40" t="s">
        <v>986</v>
      </c>
      <c r="AA135" s="40" t="s">
        <v>987</v>
      </c>
      <c r="AB135" s="23"/>
      <c r="AC135" s="23"/>
      <c r="AD135" s="44"/>
    </row>
    <row r="136">
      <c r="A136" s="40" t="s">
        <v>1317</v>
      </c>
      <c r="B136" s="40" t="s">
        <v>1318</v>
      </c>
      <c r="C136" s="40" t="s">
        <v>971</v>
      </c>
      <c r="D136" s="40" t="s">
        <v>972</v>
      </c>
      <c r="E136" s="40" t="s">
        <v>1096</v>
      </c>
      <c r="F136" s="40" t="s">
        <v>1319</v>
      </c>
      <c r="G136" s="40" t="s">
        <v>33</v>
      </c>
      <c r="H136" s="41" t="s">
        <v>1320</v>
      </c>
      <c r="I136" s="37" t="s">
        <v>1321</v>
      </c>
      <c r="J136" s="40" t="s">
        <v>1322</v>
      </c>
      <c r="K136" s="40" t="s">
        <v>1020</v>
      </c>
      <c r="L136" s="40" t="s">
        <v>1323</v>
      </c>
      <c r="M136" s="40" t="s">
        <v>1324</v>
      </c>
      <c r="N136" s="40" t="s">
        <v>1325</v>
      </c>
      <c r="O136" s="42">
        <v>0.0</v>
      </c>
      <c r="P136" s="40" t="s">
        <v>1326</v>
      </c>
      <c r="Q136" s="40" t="s">
        <v>1070</v>
      </c>
      <c r="R136" s="40" t="s">
        <v>43</v>
      </c>
      <c r="S136" s="40" t="s">
        <v>1322</v>
      </c>
      <c r="T136" s="40" t="s">
        <v>45</v>
      </c>
      <c r="U136" s="40" t="s">
        <v>1327</v>
      </c>
      <c r="V136" s="43"/>
      <c r="W136" s="40" t="s">
        <v>43</v>
      </c>
      <c r="X136" s="40" t="s">
        <v>1328</v>
      </c>
      <c r="Y136" s="40" t="s">
        <v>985</v>
      </c>
      <c r="Z136" s="40" t="s">
        <v>567</v>
      </c>
      <c r="AA136" s="40" t="s">
        <v>987</v>
      </c>
      <c r="AB136" s="23"/>
      <c r="AC136" s="23"/>
      <c r="AD136" s="44"/>
    </row>
    <row r="137">
      <c r="A137" s="40" t="s">
        <v>1329</v>
      </c>
      <c r="B137" s="40" t="s">
        <v>1330</v>
      </c>
      <c r="C137" s="40" t="s">
        <v>971</v>
      </c>
      <c r="D137" s="40" t="s">
        <v>972</v>
      </c>
      <c r="E137" s="40" t="s">
        <v>1096</v>
      </c>
      <c r="F137" s="40" t="s">
        <v>1331</v>
      </c>
      <c r="G137" s="40" t="s">
        <v>33</v>
      </c>
      <c r="H137" s="41" t="s">
        <v>1332</v>
      </c>
      <c r="I137" s="37" t="s">
        <v>1333</v>
      </c>
      <c r="J137" s="40" t="s">
        <v>1334</v>
      </c>
      <c r="K137" s="40" t="s">
        <v>1020</v>
      </c>
      <c r="L137" s="40" t="s">
        <v>1323</v>
      </c>
      <c r="M137" s="40" t="s">
        <v>1081</v>
      </c>
      <c r="N137" s="40" t="s">
        <v>1325</v>
      </c>
      <c r="O137" s="42">
        <v>0.0</v>
      </c>
      <c r="P137" s="40" t="s">
        <v>1326</v>
      </c>
      <c r="Q137" s="40" t="s">
        <v>1070</v>
      </c>
      <c r="R137" s="40" t="s">
        <v>43</v>
      </c>
      <c r="S137" s="40" t="s">
        <v>1334</v>
      </c>
      <c r="T137" s="40" t="s">
        <v>69</v>
      </c>
      <c r="U137" s="40" t="s">
        <v>1335</v>
      </c>
      <c r="V137" s="43"/>
      <c r="W137" s="40" t="s">
        <v>566</v>
      </c>
      <c r="X137" s="40" t="s">
        <v>1336</v>
      </c>
      <c r="Y137" s="40" t="s">
        <v>985</v>
      </c>
      <c r="Z137" s="40" t="s">
        <v>567</v>
      </c>
      <c r="AA137" s="40" t="s">
        <v>1337</v>
      </c>
      <c r="AB137" s="23"/>
      <c r="AC137" s="23"/>
      <c r="AD137" s="44"/>
    </row>
    <row r="138">
      <c r="A138" s="40" t="s">
        <v>1338</v>
      </c>
      <c r="B138" s="40" t="s">
        <v>1339</v>
      </c>
      <c r="C138" s="40" t="s">
        <v>971</v>
      </c>
      <c r="D138" s="40" t="s">
        <v>972</v>
      </c>
      <c r="E138" s="40" t="s">
        <v>1096</v>
      </c>
      <c r="F138" s="40" t="s">
        <v>1340</v>
      </c>
      <c r="G138" s="40" t="s">
        <v>33</v>
      </c>
      <c r="H138" s="41" t="s">
        <v>1341</v>
      </c>
      <c r="I138" s="37" t="s">
        <v>1342</v>
      </c>
      <c r="J138" s="40" t="s">
        <v>1343</v>
      </c>
      <c r="K138" s="40" t="s">
        <v>1020</v>
      </c>
      <c r="L138" s="40" t="s">
        <v>1323</v>
      </c>
      <c r="M138" s="40" t="s">
        <v>1081</v>
      </c>
      <c r="N138" s="40" t="s">
        <v>1325</v>
      </c>
      <c r="O138" s="42">
        <v>0.0</v>
      </c>
      <c r="P138" s="40" t="s">
        <v>1344</v>
      </c>
      <c r="Q138" s="40" t="s">
        <v>982</v>
      </c>
      <c r="R138" s="40" t="s">
        <v>983</v>
      </c>
      <c r="S138" s="40" t="s">
        <v>1343</v>
      </c>
      <c r="T138" s="40" t="s">
        <v>45</v>
      </c>
      <c r="U138" s="40" t="s">
        <v>43</v>
      </c>
      <c r="V138" s="43"/>
      <c r="W138" s="40" t="s">
        <v>43</v>
      </c>
      <c r="X138" s="40" t="s">
        <v>984</v>
      </c>
      <c r="Y138" s="40" t="s">
        <v>985</v>
      </c>
      <c r="Z138" s="40" t="s">
        <v>986</v>
      </c>
      <c r="AA138" s="40" t="s">
        <v>985</v>
      </c>
      <c r="AB138" s="23"/>
      <c r="AC138" s="23"/>
      <c r="AD138" s="44"/>
    </row>
    <row r="139">
      <c r="A139" s="40" t="s">
        <v>1345</v>
      </c>
      <c r="B139" s="40" t="s">
        <v>1346</v>
      </c>
      <c r="C139" s="40" t="s">
        <v>971</v>
      </c>
      <c r="D139" s="40" t="s">
        <v>972</v>
      </c>
      <c r="E139" s="40" t="s">
        <v>1034</v>
      </c>
      <c r="F139" s="40" t="s">
        <v>1347</v>
      </c>
      <c r="G139" s="40" t="s">
        <v>253</v>
      </c>
      <c r="H139" s="41" t="s">
        <v>1348</v>
      </c>
      <c r="I139" s="37" t="s">
        <v>1349</v>
      </c>
      <c r="J139" s="40" t="s">
        <v>1350</v>
      </c>
      <c r="K139" s="40" t="s">
        <v>37</v>
      </c>
      <c r="L139" s="40" t="s">
        <v>1351</v>
      </c>
      <c r="M139" s="40" t="s">
        <v>1070</v>
      </c>
      <c r="N139" s="40" t="s">
        <v>980</v>
      </c>
      <c r="O139" s="40" t="s">
        <v>1070</v>
      </c>
      <c r="P139" s="40" t="s">
        <v>1352</v>
      </c>
      <c r="Q139" s="40" t="s">
        <v>1353</v>
      </c>
      <c r="R139" s="40" t="s">
        <v>1353</v>
      </c>
      <c r="S139" s="40" t="s">
        <v>1350</v>
      </c>
      <c r="T139" s="40" t="s">
        <v>45</v>
      </c>
      <c r="U139" s="40" t="s">
        <v>43</v>
      </c>
      <c r="V139" s="43"/>
      <c r="W139" s="40" t="s">
        <v>43</v>
      </c>
      <c r="X139" s="40" t="s">
        <v>984</v>
      </c>
      <c r="Y139" s="40" t="s">
        <v>985</v>
      </c>
      <c r="Z139" s="40" t="s">
        <v>986</v>
      </c>
      <c r="AA139" s="40" t="s">
        <v>987</v>
      </c>
      <c r="AB139" s="23"/>
      <c r="AC139" s="23"/>
      <c r="AD139" s="44"/>
    </row>
    <row r="140">
      <c r="A140" s="40" t="s">
        <v>1354</v>
      </c>
      <c r="B140" s="40" t="s">
        <v>1355</v>
      </c>
      <c r="C140" s="40" t="s">
        <v>971</v>
      </c>
      <c r="D140" s="40" t="s">
        <v>972</v>
      </c>
      <c r="E140" s="40" t="s">
        <v>1356</v>
      </c>
      <c r="F140" s="40" t="s">
        <v>1357</v>
      </c>
      <c r="G140" s="40" t="s">
        <v>1162</v>
      </c>
      <c r="H140" s="41" t="s">
        <v>1358</v>
      </c>
      <c r="I140" s="40" t="s">
        <v>1359</v>
      </c>
      <c r="J140" s="40" t="s">
        <v>1360</v>
      </c>
      <c r="K140" s="40" t="s">
        <v>1361</v>
      </c>
      <c r="L140" s="40" t="s">
        <v>1362</v>
      </c>
      <c r="M140" s="40" t="s">
        <v>1070</v>
      </c>
      <c r="N140" s="40" t="s">
        <v>1363</v>
      </c>
      <c r="O140" s="40" t="s">
        <v>1070</v>
      </c>
      <c r="P140" s="40" t="s">
        <v>1364</v>
      </c>
      <c r="Q140" s="40" t="s">
        <v>1365</v>
      </c>
      <c r="R140" s="40" t="s">
        <v>1365</v>
      </c>
      <c r="S140" s="40" t="s">
        <v>1360</v>
      </c>
      <c r="T140" s="40" t="s">
        <v>45</v>
      </c>
      <c r="U140" s="40" t="s">
        <v>43</v>
      </c>
      <c r="V140" s="43"/>
      <c r="W140" s="40" t="s">
        <v>43</v>
      </c>
      <c r="X140" s="40" t="s">
        <v>984</v>
      </c>
      <c r="Y140" s="40" t="s">
        <v>985</v>
      </c>
      <c r="Z140" s="40" t="s">
        <v>986</v>
      </c>
      <c r="AA140" s="40" t="s">
        <v>1171</v>
      </c>
      <c r="AB140" s="23"/>
      <c r="AC140" s="23"/>
      <c r="AD140" s="44"/>
    </row>
    <row r="141">
      <c r="A141" s="40" t="s">
        <v>1366</v>
      </c>
      <c r="B141" s="40" t="s">
        <v>1367</v>
      </c>
      <c r="C141" s="40" t="s">
        <v>971</v>
      </c>
      <c r="D141" s="40" t="s">
        <v>972</v>
      </c>
      <c r="E141" s="40" t="s">
        <v>1096</v>
      </c>
      <c r="F141" s="40" t="s">
        <v>1368</v>
      </c>
      <c r="G141" s="40" t="s">
        <v>43</v>
      </c>
      <c r="H141" s="41" t="s">
        <v>1369</v>
      </c>
      <c r="I141" s="37" t="s">
        <v>1370</v>
      </c>
      <c r="J141" s="40" t="s">
        <v>1370</v>
      </c>
      <c r="K141" s="40" t="s">
        <v>1371</v>
      </c>
      <c r="L141" s="40" t="s">
        <v>1372</v>
      </c>
      <c r="M141" s="40" t="s">
        <v>1070</v>
      </c>
      <c r="N141" s="40" t="s">
        <v>1363</v>
      </c>
      <c r="O141" s="40" t="s">
        <v>1070</v>
      </c>
      <c r="P141" s="40" t="s">
        <v>1373</v>
      </c>
      <c r="Q141" s="40" t="s">
        <v>44</v>
      </c>
      <c r="R141" s="40" t="s">
        <v>44</v>
      </c>
      <c r="S141" s="40" t="s">
        <v>1370</v>
      </c>
      <c r="T141" s="40" t="s">
        <v>45</v>
      </c>
      <c r="U141" s="40" t="s">
        <v>43</v>
      </c>
      <c r="V141" s="43"/>
      <c r="W141" s="40" t="s">
        <v>43</v>
      </c>
      <c r="X141" s="40" t="s">
        <v>984</v>
      </c>
      <c r="Y141" s="40" t="s">
        <v>985</v>
      </c>
      <c r="Z141" s="40" t="s">
        <v>986</v>
      </c>
      <c r="AA141" s="40" t="s">
        <v>1374</v>
      </c>
      <c r="AB141" s="23"/>
      <c r="AC141" s="23"/>
      <c r="AD141" s="44"/>
    </row>
    <row r="142">
      <c r="A142" s="40" t="s">
        <v>1375</v>
      </c>
      <c r="B142" s="40" t="s">
        <v>1376</v>
      </c>
      <c r="C142" s="40" t="s">
        <v>971</v>
      </c>
      <c r="D142" s="40" t="s">
        <v>972</v>
      </c>
      <c r="E142" s="40" t="s">
        <v>1377</v>
      </c>
      <c r="F142" s="40" t="s">
        <v>1378</v>
      </c>
      <c r="G142" s="40" t="s">
        <v>253</v>
      </c>
      <c r="H142" s="41" t="s">
        <v>1379</v>
      </c>
      <c r="I142" s="37" t="s">
        <v>1380</v>
      </c>
      <c r="J142" s="40" t="s">
        <v>1189</v>
      </c>
      <c r="K142" s="40" t="s">
        <v>1381</v>
      </c>
      <c r="L142" s="40" t="s">
        <v>1382</v>
      </c>
      <c r="M142" s="40" t="s">
        <v>430</v>
      </c>
      <c r="N142" s="40" t="s">
        <v>1240</v>
      </c>
      <c r="O142" s="40" t="s">
        <v>1070</v>
      </c>
      <c r="P142" s="40" t="s">
        <v>1383</v>
      </c>
      <c r="Q142" s="40" t="s">
        <v>1242</v>
      </c>
      <c r="R142" s="40" t="s">
        <v>1104</v>
      </c>
      <c r="S142" s="40" t="s">
        <v>1189</v>
      </c>
      <c r="T142" s="40" t="s">
        <v>45</v>
      </c>
      <c r="U142" s="40" t="s">
        <v>43</v>
      </c>
      <c r="V142" s="43"/>
      <c r="W142" s="40" t="s">
        <v>43</v>
      </c>
      <c r="X142" s="40" t="s">
        <v>984</v>
      </c>
      <c r="Y142" s="40" t="s">
        <v>985</v>
      </c>
      <c r="Z142" s="40" t="s">
        <v>986</v>
      </c>
      <c r="AA142" s="40" t="s">
        <v>987</v>
      </c>
      <c r="AB142" s="23"/>
      <c r="AC142" s="23"/>
      <c r="AD142" s="44"/>
    </row>
    <row r="143">
      <c r="A143" s="40" t="s">
        <v>1384</v>
      </c>
      <c r="B143" s="40" t="s">
        <v>1385</v>
      </c>
      <c r="C143" s="40" t="s">
        <v>971</v>
      </c>
      <c r="D143" s="40" t="s">
        <v>972</v>
      </c>
      <c r="E143" s="40" t="s">
        <v>1386</v>
      </c>
      <c r="F143" s="40" t="s">
        <v>1387</v>
      </c>
      <c r="G143" s="40" t="s">
        <v>58</v>
      </c>
      <c r="H143" s="41" t="s">
        <v>1388</v>
      </c>
      <c r="I143" s="37" t="s">
        <v>1389</v>
      </c>
      <c r="J143" s="40" t="s">
        <v>1390</v>
      </c>
      <c r="K143" s="40" t="s">
        <v>1124</v>
      </c>
      <c r="L143" s="40" t="s">
        <v>1391</v>
      </c>
      <c r="M143" s="40" t="s">
        <v>1180</v>
      </c>
      <c r="N143" s="40" t="s">
        <v>1155</v>
      </c>
      <c r="O143" s="42">
        <v>15000.0</v>
      </c>
      <c r="P143" s="40" t="s">
        <v>1392</v>
      </c>
      <c r="Q143" s="40" t="s">
        <v>1393</v>
      </c>
      <c r="R143" s="40" t="s">
        <v>1394</v>
      </c>
      <c r="S143" s="40" t="s">
        <v>1395</v>
      </c>
      <c r="T143" s="40" t="s">
        <v>578</v>
      </c>
      <c r="U143" s="40" t="s">
        <v>70</v>
      </c>
      <c r="V143" s="45">
        <v>45692.0</v>
      </c>
      <c r="W143" s="40" t="s">
        <v>37</v>
      </c>
      <c r="X143" s="40" t="s">
        <v>1396</v>
      </c>
      <c r="Y143" s="40" t="s">
        <v>985</v>
      </c>
      <c r="Z143" s="40" t="s">
        <v>567</v>
      </c>
      <c r="AA143" s="40" t="s">
        <v>1397</v>
      </c>
      <c r="AB143" s="23"/>
      <c r="AC143" s="23"/>
      <c r="AD143" s="44"/>
    </row>
    <row r="144">
      <c r="A144" s="40" t="s">
        <v>1398</v>
      </c>
      <c r="B144" s="40" t="s">
        <v>1399</v>
      </c>
      <c r="C144" s="40" t="s">
        <v>971</v>
      </c>
      <c r="D144" s="40" t="s">
        <v>972</v>
      </c>
      <c r="E144" s="40" t="s">
        <v>1400</v>
      </c>
      <c r="F144" s="40" t="s">
        <v>1401</v>
      </c>
      <c r="G144" s="40" t="s">
        <v>33</v>
      </c>
      <c r="H144" s="41" t="s">
        <v>1402</v>
      </c>
      <c r="I144" s="37" t="s">
        <v>1403</v>
      </c>
      <c r="J144" s="40" t="s">
        <v>1404</v>
      </c>
      <c r="K144" s="40" t="s">
        <v>37</v>
      </c>
      <c r="L144" s="40" t="s">
        <v>1140</v>
      </c>
      <c r="M144" s="40" t="s">
        <v>1405</v>
      </c>
      <c r="N144" s="40" t="s">
        <v>1363</v>
      </c>
      <c r="O144" s="42">
        <v>17500.0</v>
      </c>
      <c r="P144" s="40" t="s">
        <v>1284</v>
      </c>
      <c r="Q144" s="40" t="s">
        <v>44</v>
      </c>
      <c r="R144" s="40" t="s">
        <v>1406</v>
      </c>
      <c r="S144" s="40" t="s">
        <v>1404</v>
      </c>
      <c r="T144" s="40" t="s">
        <v>69</v>
      </c>
      <c r="U144" s="40" t="s">
        <v>70</v>
      </c>
      <c r="V144" s="45">
        <v>45662.0</v>
      </c>
      <c r="W144" s="40" t="s">
        <v>566</v>
      </c>
      <c r="X144" s="40" t="s">
        <v>1407</v>
      </c>
      <c r="Y144" s="40" t="s">
        <v>985</v>
      </c>
      <c r="Z144" s="40" t="s">
        <v>567</v>
      </c>
      <c r="AA144" s="40" t="s">
        <v>1408</v>
      </c>
      <c r="AB144" s="23"/>
      <c r="AC144" s="23"/>
      <c r="AD144" s="44"/>
    </row>
    <row r="145">
      <c r="A145" s="40" t="s">
        <v>1409</v>
      </c>
      <c r="B145" s="40" t="s">
        <v>1410</v>
      </c>
      <c r="C145" s="40" t="s">
        <v>971</v>
      </c>
      <c r="D145" s="40" t="s">
        <v>972</v>
      </c>
      <c r="E145" s="40" t="s">
        <v>1411</v>
      </c>
      <c r="F145" s="40" t="s">
        <v>1412</v>
      </c>
      <c r="G145" s="40" t="s">
        <v>58</v>
      </c>
      <c r="H145" s="41" t="s">
        <v>1413</v>
      </c>
      <c r="I145" s="37" t="s">
        <v>1414</v>
      </c>
      <c r="J145" s="40" t="s">
        <v>1415</v>
      </c>
      <c r="K145" s="40" t="s">
        <v>37</v>
      </c>
      <c r="L145" s="40" t="s">
        <v>1416</v>
      </c>
      <c r="M145" s="40" t="s">
        <v>1125</v>
      </c>
      <c r="N145" s="40" t="s">
        <v>1417</v>
      </c>
      <c r="O145" s="40" t="s">
        <v>1070</v>
      </c>
      <c r="P145" s="40" t="s">
        <v>1418</v>
      </c>
      <c r="Q145" s="40" t="s">
        <v>1419</v>
      </c>
      <c r="R145" s="40" t="s">
        <v>1420</v>
      </c>
      <c r="S145" s="40" t="s">
        <v>1415</v>
      </c>
      <c r="T145" s="40" t="s">
        <v>69</v>
      </c>
      <c r="U145" s="40" t="s">
        <v>70</v>
      </c>
      <c r="V145" s="45">
        <v>45695.0</v>
      </c>
      <c r="W145" s="40" t="s">
        <v>566</v>
      </c>
      <c r="X145" s="40" t="s">
        <v>1421</v>
      </c>
      <c r="Y145" s="40" t="s">
        <v>985</v>
      </c>
      <c r="Z145" s="40" t="s">
        <v>567</v>
      </c>
      <c r="AA145" s="40" t="s">
        <v>1422</v>
      </c>
      <c r="AB145" s="23"/>
      <c r="AC145" s="23"/>
      <c r="AD145" s="44"/>
    </row>
    <row r="146">
      <c r="A146" s="40" t="s">
        <v>1423</v>
      </c>
      <c r="B146" s="40" t="s">
        <v>1424</v>
      </c>
      <c r="C146" s="40" t="s">
        <v>971</v>
      </c>
      <c r="D146" s="40" t="s">
        <v>972</v>
      </c>
      <c r="E146" s="40" t="s">
        <v>1425</v>
      </c>
      <c r="F146" s="40" t="s">
        <v>1426</v>
      </c>
      <c r="G146" s="40" t="s">
        <v>58</v>
      </c>
      <c r="H146" s="41" t="s">
        <v>1427</v>
      </c>
      <c r="I146" s="37" t="s">
        <v>1428</v>
      </c>
      <c r="J146" s="40" t="s">
        <v>1429</v>
      </c>
      <c r="K146" s="40" t="s">
        <v>1124</v>
      </c>
      <c r="L146" s="40" t="s">
        <v>93</v>
      </c>
      <c r="M146" s="40" t="s">
        <v>1180</v>
      </c>
      <c r="N146" s="40" t="s">
        <v>1102</v>
      </c>
      <c r="O146" s="42">
        <v>17500.0</v>
      </c>
      <c r="P146" s="40" t="s">
        <v>1127</v>
      </c>
      <c r="Q146" s="40" t="s">
        <v>44</v>
      </c>
      <c r="R146" s="40" t="s">
        <v>1430</v>
      </c>
      <c r="S146" s="40" t="s">
        <v>1429</v>
      </c>
      <c r="T146" s="40" t="s">
        <v>69</v>
      </c>
      <c r="U146" s="40" t="s">
        <v>70</v>
      </c>
      <c r="V146" s="45">
        <v>45663.0</v>
      </c>
      <c r="W146" s="40" t="s">
        <v>566</v>
      </c>
      <c r="X146" s="40" t="s">
        <v>1431</v>
      </c>
      <c r="Y146" s="40" t="s">
        <v>985</v>
      </c>
      <c r="Z146" s="40" t="s">
        <v>567</v>
      </c>
      <c r="AA146" s="40" t="s">
        <v>1432</v>
      </c>
      <c r="AB146" s="23"/>
      <c r="AC146" s="23"/>
      <c r="AD146" s="44"/>
    </row>
    <row r="147">
      <c r="A147" s="40" t="s">
        <v>1433</v>
      </c>
      <c r="B147" s="40" t="s">
        <v>1434</v>
      </c>
      <c r="C147" s="40" t="s">
        <v>971</v>
      </c>
      <c r="D147" s="40" t="s">
        <v>972</v>
      </c>
      <c r="E147" s="40" t="s">
        <v>1435</v>
      </c>
      <c r="F147" s="40" t="s">
        <v>1436</v>
      </c>
      <c r="G147" s="40" t="s">
        <v>58</v>
      </c>
      <c r="H147" s="41" t="s">
        <v>1437</v>
      </c>
      <c r="I147" s="37" t="s">
        <v>1438</v>
      </c>
      <c r="J147" s="40" t="s">
        <v>1439</v>
      </c>
      <c r="K147" s="40" t="s">
        <v>1124</v>
      </c>
      <c r="L147" s="40" t="s">
        <v>93</v>
      </c>
      <c r="M147" s="40" t="s">
        <v>1440</v>
      </c>
      <c r="N147" s="40" t="s">
        <v>1102</v>
      </c>
      <c r="O147" s="42">
        <v>17500.0</v>
      </c>
      <c r="P147" s="40" t="s">
        <v>1127</v>
      </c>
      <c r="Q147" s="40" t="s">
        <v>1441</v>
      </c>
      <c r="R147" s="40" t="s">
        <v>1442</v>
      </c>
      <c r="S147" s="40" t="s">
        <v>1443</v>
      </c>
      <c r="T147" s="40" t="s">
        <v>69</v>
      </c>
      <c r="U147" s="40" t="s">
        <v>70</v>
      </c>
      <c r="V147" s="45">
        <v>45663.0</v>
      </c>
      <c r="W147" s="40" t="s">
        <v>566</v>
      </c>
      <c r="X147" s="40" t="s">
        <v>1444</v>
      </c>
      <c r="Y147" s="40" t="s">
        <v>985</v>
      </c>
      <c r="Z147" s="40" t="s">
        <v>567</v>
      </c>
      <c r="AA147" s="40" t="s">
        <v>1445</v>
      </c>
      <c r="AB147" s="23"/>
      <c r="AC147" s="23"/>
      <c r="AD147" s="44"/>
    </row>
    <row r="148">
      <c r="A148" s="37" t="s">
        <v>1446</v>
      </c>
      <c r="B148" s="37" t="s">
        <v>1447</v>
      </c>
      <c r="C148" s="37" t="s">
        <v>971</v>
      </c>
      <c r="D148" s="37" t="s">
        <v>972</v>
      </c>
      <c r="E148" s="37" t="s">
        <v>1448</v>
      </c>
      <c r="F148" s="37" t="s">
        <v>1449</v>
      </c>
      <c r="G148" s="37" t="s">
        <v>33</v>
      </c>
      <c r="H148" s="46" t="s">
        <v>1450</v>
      </c>
      <c r="I148" s="37" t="s">
        <v>1451</v>
      </c>
      <c r="J148" s="37" t="s">
        <v>1452</v>
      </c>
      <c r="K148" s="37" t="s">
        <v>1124</v>
      </c>
      <c r="L148" s="37" t="s">
        <v>1453</v>
      </c>
      <c r="M148" s="37" t="s">
        <v>1454</v>
      </c>
      <c r="N148" s="37" t="s">
        <v>1455</v>
      </c>
      <c r="O148" s="47">
        <v>10000.0</v>
      </c>
      <c r="P148" s="37" t="s">
        <v>1156</v>
      </c>
      <c r="Q148" s="37" t="s">
        <v>1456</v>
      </c>
      <c r="R148" s="37" t="s">
        <v>1442</v>
      </c>
      <c r="S148" s="37" t="s">
        <v>1457</v>
      </c>
      <c r="T148" s="37" t="s">
        <v>69</v>
      </c>
      <c r="U148" s="37" t="s">
        <v>1458</v>
      </c>
      <c r="V148" s="45">
        <v>45663.0</v>
      </c>
      <c r="W148" s="37" t="s">
        <v>566</v>
      </c>
      <c r="X148" s="37" t="s">
        <v>1459</v>
      </c>
      <c r="Y148" s="37" t="s">
        <v>985</v>
      </c>
      <c r="Z148" s="37" t="s">
        <v>567</v>
      </c>
      <c r="AA148" s="37" t="s">
        <v>1460</v>
      </c>
      <c r="AB148" s="23"/>
      <c r="AC148" s="23"/>
      <c r="AD148" s="44"/>
    </row>
    <row r="149">
      <c r="A149" s="44" t="s">
        <v>1461</v>
      </c>
      <c r="B149" s="44" t="s">
        <v>1462</v>
      </c>
      <c r="C149" s="44" t="s">
        <v>1463</v>
      </c>
      <c r="D149" s="44" t="s">
        <v>1464</v>
      </c>
      <c r="E149" s="44" t="s">
        <v>1465</v>
      </c>
      <c r="F149" s="44" t="s">
        <v>1466</v>
      </c>
      <c r="G149" s="44" t="s">
        <v>33</v>
      </c>
      <c r="H149" s="48" t="s">
        <v>1467</v>
      </c>
      <c r="I149" s="49" t="s">
        <v>1468</v>
      </c>
      <c r="J149" s="44" t="s">
        <v>1469</v>
      </c>
      <c r="K149" s="44" t="s">
        <v>37</v>
      </c>
      <c r="L149" s="44" t="s">
        <v>1470</v>
      </c>
      <c r="M149" s="44" t="s">
        <v>1471</v>
      </c>
      <c r="N149" s="44" t="s">
        <v>1472</v>
      </c>
      <c r="O149" s="44" t="s">
        <v>1473</v>
      </c>
      <c r="P149" s="44" t="s">
        <v>43</v>
      </c>
      <c r="Q149" s="44" t="s">
        <v>1474</v>
      </c>
      <c r="R149" s="44" t="s">
        <v>1475</v>
      </c>
      <c r="S149" s="44" t="s">
        <v>1476</v>
      </c>
      <c r="T149" s="44" t="s">
        <v>308</v>
      </c>
      <c r="U149" s="44" t="s">
        <v>1477</v>
      </c>
      <c r="V149" s="50">
        <v>45778.0</v>
      </c>
      <c r="W149" s="44" t="s">
        <v>43</v>
      </c>
      <c r="X149" s="44" t="s">
        <v>1478</v>
      </c>
      <c r="Y149" s="44" t="s">
        <v>43</v>
      </c>
      <c r="Z149" s="44" t="s">
        <v>1479</v>
      </c>
      <c r="AA149" s="44" t="s">
        <v>1480</v>
      </c>
      <c r="AB149" s="44"/>
      <c r="AC149" s="44"/>
      <c r="AD149" s="44"/>
    </row>
    <row r="150">
      <c r="A150" s="51" t="s">
        <v>1481</v>
      </c>
      <c r="B150" s="51" t="s">
        <v>1482</v>
      </c>
      <c r="C150" s="51" t="s">
        <v>1483</v>
      </c>
      <c r="D150" s="51" t="s">
        <v>1484</v>
      </c>
      <c r="E150" s="51" t="s">
        <v>1483</v>
      </c>
      <c r="F150" s="51" t="s">
        <v>1485</v>
      </c>
      <c r="G150" s="51" t="s">
        <v>33</v>
      </c>
      <c r="H150" s="52" t="s">
        <v>1486</v>
      </c>
      <c r="I150" s="53" t="s">
        <v>1487</v>
      </c>
      <c r="J150" s="51" t="s">
        <v>1488</v>
      </c>
      <c r="K150" s="51" t="s">
        <v>37</v>
      </c>
      <c r="L150" s="51" t="s">
        <v>1489</v>
      </c>
      <c r="M150" s="51" t="s">
        <v>1490</v>
      </c>
      <c r="N150" s="51" t="s">
        <v>1491</v>
      </c>
      <c r="O150" s="51" t="s">
        <v>1492</v>
      </c>
      <c r="P150" s="51" t="s">
        <v>43</v>
      </c>
      <c r="Q150" s="51" t="s">
        <v>43</v>
      </c>
      <c r="R150" s="51" t="s">
        <v>1493</v>
      </c>
      <c r="S150" s="51" t="s">
        <v>43</v>
      </c>
      <c r="T150" s="51" t="s">
        <v>45</v>
      </c>
      <c r="U150" s="51" t="s">
        <v>43</v>
      </c>
      <c r="V150" s="51" t="s">
        <v>43</v>
      </c>
      <c r="W150" s="51" t="s">
        <v>43</v>
      </c>
      <c r="X150" s="51" t="s">
        <v>1494</v>
      </c>
      <c r="Y150" s="51" t="s">
        <v>43</v>
      </c>
      <c r="Z150" s="51" t="s">
        <v>43</v>
      </c>
      <c r="AA150" s="51" t="s">
        <v>86</v>
      </c>
      <c r="AB150" s="51"/>
      <c r="AC150" s="51"/>
      <c r="AD150" s="51"/>
    </row>
    <row r="151">
      <c r="A151" s="54" t="s">
        <v>1495</v>
      </c>
      <c r="B151" s="54" t="s">
        <v>1496</v>
      </c>
      <c r="C151" s="54" t="s">
        <v>1497</v>
      </c>
      <c r="D151" s="54" t="s">
        <v>1498</v>
      </c>
      <c r="E151" s="54" t="s">
        <v>1499</v>
      </c>
      <c r="F151" s="54" t="s">
        <v>1500</v>
      </c>
      <c r="G151" s="54" t="s">
        <v>253</v>
      </c>
      <c r="H151" s="55" t="s">
        <v>1501</v>
      </c>
      <c r="I151" s="54" t="s">
        <v>1502</v>
      </c>
      <c r="J151" s="54" t="s">
        <v>1503</v>
      </c>
      <c r="K151" s="54" t="s">
        <v>50</v>
      </c>
      <c r="L151" s="54" t="s">
        <v>1504</v>
      </c>
      <c r="M151" s="54" t="s">
        <v>43</v>
      </c>
      <c r="N151" s="54" t="s">
        <v>1505</v>
      </c>
      <c r="O151" s="54" t="s">
        <v>216</v>
      </c>
      <c r="P151" s="54" t="s">
        <v>43</v>
      </c>
      <c r="Q151" s="54" t="s">
        <v>43</v>
      </c>
      <c r="R151" s="54" t="s">
        <v>1506</v>
      </c>
      <c r="S151" s="54" t="s">
        <v>43</v>
      </c>
      <c r="T151" s="54" t="s">
        <v>45</v>
      </c>
      <c r="U151" s="54" t="s">
        <v>43</v>
      </c>
      <c r="V151" s="54" t="s">
        <v>43</v>
      </c>
      <c r="W151" s="54" t="s">
        <v>43</v>
      </c>
      <c r="X151" s="54" t="s">
        <v>528</v>
      </c>
      <c r="Y151" s="54" t="s">
        <v>43</v>
      </c>
      <c r="Z151" s="54" t="s">
        <v>43</v>
      </c>
      <c r="AA151" s="54" t="s">
        <v>86</v>
      </c>
      <c r="AB151" s="54"/>
      <c r="AC151" s="54"/>
      <c r="AD151" s="54"/>
    </row>
    <row r="152">
      <c r="A152" s="56" t="s">
        <v>1507</v>
      </c>
      <c r="B152" s="56" t="s">
        <v>1508</v>
      </c>
      <c r="C152" s="56" t="s">
        <v>1509</v>
      </c>
      <c r="D152" s="56" t="s">
        <v>1510</v>
      </c>
      <c r="E152" s="56" t="s">
        <v>1511</v>
      </c>
      <c r="F152" s="56" t="s">
        <v>1512</v>
      </c>
      <c r="G152" s="56" t="s">
        <v>33</v>
      </c>
      <c r="H152" s="57" t="s">
        <v>1513</v>
      </c>
      <c r="I152" s="56" t="s">
        <v>1514</v>
      </c>
      <c r="J152" s="56" t="s">
        <v>1515</v>
      </c>
      <c r="K152" s="56" t="s">
        <v>37</v>
      </c>
      <c r="L152" s="56" t="s">
        <v>1516</v>
      </c>
      <c r="M152" s="56" t="s">
        <v>1517</v>
      </c>
      <c r="N152" s="56" t="s">
        <v>1518</v>
      </c>
      <c r="O152" s="56" t="s">
        <v>1519</v>
      </c>
      <c r="P152" s="56" t="s">
        <v>43</v>
      </c>
      <c r="Q152" s="56" t="s">
        <v>43</v>
      </c>
      <c r="R152" s="56" t="s">
        <v>1520</v>
      </c>
      <c r="S152" s="56" t="s">
        <v>43</v>
      </c>
      <c r="T152" s="56" t="s">
        <v>45</v>
      </c>
      <c r="U152" s="56" t="s">
        <v>43</v>
      </c>
      <c r="V152" s="56" t="s">
        <v>43</v>
      </c>
      <c r="W152" s="56" t="s">
        <v>43</v>
      </c>
      <c r="X152" s="56" t="s">
        <v>1521</v>
      </c>
      <c r="Y152" s="56" t="s">
        <v>43</v>
      </c>
      <c r="Z152" s="56" t="s">
        <v>43</v>
      </c>
      <c r="AA152" s="56" t="s">
        <v>86</v>
      </c>
      <c r="AB152" s="56"/>
      <c r="AC152" s="56"/>
      <c r="AD152" s="56"/>
    </row>
    <row r="153">
      <c r="A153" s="58" t="s">
        <v>1522</v>
      </c>
      <c r="B153" s="58" t="s">
        <v>1523</v>
      </c>
      <c r="C153" s="58" t="s">
        <v>1524</v>
      </c>
      <c r="D153" s="58" t="s">
        <v>1525</v>
      </c>
      <c r="E153" s="58" t="s">
        <v>1526</v>
      </c>
      <c r="F153" s="58" t="s">
        <v>1527</v>
      </c>
      <c r="G153" s="58" t="s">
        <v>33</v>
      </c>
      <c r="H153" s="59" t="s">
        <v>1528</v>
      </c>
      <c r="I153" s="58" t="s">
        <v>1529</v>
      </c>
      <c r="J153" s="58" t="s">
        <v>1530</v>
      </c>
      <c r="K153" s="58" t="s">
        <v>50</v>
      </c>
      <c r="L153" s="58" t="s">
        <v>1531</v>
      </c>
      <c r="M153" s="58" t="s">
        <v>43</v>
      </c>
      <c r="N153" s="58" t="s">
        <v>1532</v>
      </c>
      <c r="O153" s="58" t="s">
        <v>216</v>
      </c>
      <c r="P153" s="58" t="s">
        <v>43</v>
      </c>
      <c r="Q153" s="58" t="s">
        <v>43</v>
      </c>
      <c r="R153" s="58" t="s">
        <v>1533</v>
      </c>
      <c r="S153" s="58" t="s">
        <v>43</v>
      </c>
      <c r="T153" s="58" t="s">
        <v>45</v>
      </c>
      <c r="U153" s="60" t="s">
        <v>70</v>
      </c>
      <c r="V153" s="61">
        <v>45954.52807090278</v>
      </c>
      <c r="W153" s="58" t="s">
        <v>43</v>
      </c>
      <c r="X153" s="58" t="s">
        <v>1534</v>
      </c>
      <c r="Y153" s="58" t="s">
        <v>43</v>
      </c>
      <c r="Z153" s="58" t="s">
        <v>43</v>
      </c>
      <c r="AA153" s="58" t="s">
        <v>86</v>
      </c>
      <c r="AB153" s="58"/>
      <c r="AC153" s="58"/>
      <c r="AD153" s="58"/>
    </row>
    <row r="154">
      <c r="A154" s="62" t="s">
        <v>1535</v>
      </c>
      <c r="B154" s="62" t="s">
        <v>1536</v>
      </c>
      <c r="C154" s="62" t="s">
        <v>1537</v>
      </c>
      <c r="D154" s="62" t="s">
        <v>1538</v>
      </c>
      <c r="E154" s="62" t="s">
        <v>1539</v>
      </c>
      <c r="F154" s="62" t="s">
        <v>1540</v>
      </c>
      <c r="G154" s="62" t="s">
        <v>58</v>
      </c>
      <c r="H154" s="63" t="s">
        <v>1541</v>
      </c>
      <c r="I154" s="62" t="s">
        <v>1542</v>
      </c>
      <c r="J154" s="62" t="s">
        <v>1543</v>
      </c>
      <c r="K154" s="62" t="s">
        <v>37</v>
      </c>
      <c r="L154" s="62" t="s">
        <v>1544</v>
      </c>
      <c r="M154" s="62" t="s">
        <v>1545</v>
      </c>
      <c r="N154" s="62" t="s">
        <v>1546</v>
      </c>
      <c r="O154" s="62" t="s">
        <v>1547</v>
      </c>
      <c r="P154" s="62" t="s">
        <v>1548</v>
      </c>
      <c r="Q154" s="62" t="s">
        <v>43</v>
      </c>
      <c r="R154" s="62" t="s">
        <v>1549</v>
      </c>
      <c r="S154" s="62" t="s">
        <v>43</v>
      </c>
      <c r="T154" s="62" t="s">
        <v>45</v>
      </c>
      <c r="U154" s="62" t="s">
        <v>43</v>
      </c>
      <c r="V154" s="62" t="s">
        <v>43</v>
      </c>
      <c r="W154" s="62" t="s">
        <v>43</v>
      </c>
      <c r="X154" s="62" t="s">
        <v>1550</v>
      </c>
      <c r="Y154" s="62" t="s">
        <v>43</v>
      </c>
      <c r="Z154" s="62" t="s">
        <v>43</v>
      </c>
      <c r="AA154" s="62" t="s">
        <v>86</v>
      </c>
      <c r="AB154" s="62"/>
      <c r="AC154" s="62"/>
      <c r="AD154" s="62"/>
    </row>
    <row r="155">
      <c r="A155" s="64" t="s">
        <v>1551</v>
      </c>
      <c r="B155" s="64" t="s">
        <v>1552</v>
      </c>
      <c r="C155" s="64" t="s">
        <v>1553</v>
      </c>
      <c r="D155" s="64" t="s">
        <v>1554</v>
      </c>
      <c r="E155" s="64" t="s">
        <v>1555</v>
      </c>
      <c r="F155" s="64" t="s">
        <v>1556</v>
      </c>
      <c r="G155" s="64" t="s">
        <v>58</v>
      </c>
      <c r="H155" s="65" t="s">
        <v>1557</v>
      </c>
      <c r="I155" s="64" t="s">
        <v>1558</v>
      </c>
      <c r="J155" s="64" t="s">
        <v>1559</v>
      </c>
      <c r="K155" s="64" t="s">
        <v>37</v>
      </c>
      <c r="L155" s="64" t="s">
        <v>1560</v>
      </c>
      <c r="M155" s="64" t="s">
        <v>1561</v>
      </c>
      <c r="N155" s="64" t="s">
        <v>1562</v>
      </c>
      <c r="O155" s="64" t="s">
        <v>1563</v>
      </c>
      <c r="P155" s="64" t="s">
        <v>1564</v>
      </c>
      <c r="Q155" s="64" t="s">
        <v>1565</v>
      </c>
      <c r="R155" s="64" t="s">
        <v>1566</v>
      </c>
      <c r="S155" s="64" t="s">
        <v>1567</v>
      </c>
      <c r="T155" s="64" t="s">
        <v>69</v>
      </c>
      <c r="U155" s="64" t="s">
        <v>70</v>
      </c>
      <c r="V155" s="64" t="s">
        <v>43</v>
      </c>
      <c r="W155" s="64" t="s">
        <v>37</v>
      </c>
      <c r="X155" s="64" t="s">
        <v>1568</v>
      </c>
      <c r="Y155" s="64" t="s">
        <v>43</v>
      </c>
      <c r="Z155" s="64" t="s">
        <v>43</v>
      </c>
      <c r="AA155" s="64" t="s">
        <v>1569</v>
      </c>
      <c r="AB155" s="64"/>
      <c r="AC155" s="64"/>
      <c r="AD155" s="64"/>
    </row>
    <row r="156">
      <c r="A156" s="66" t="s">
        <v>1570</v>
      </c>
      <c r="B156" s="66" t="s">
        <v>1571</v>
      </c>
      <c r="C156" s="66" t="s">
        <v>1572</v>
      </c>
      <c r="D156" s="66" t="s">
        <v>1573</v>
      </c>
      <c r="E156" s="66" t="s">
        <v>1574</v>
      </c>
      <c r="F156" s="66" t="s">
        <v>1575</v>
      </c>
      <c r="G156" s="66" t="s">
        <v>33</v>
      </c>
      <c r="H156" s="67" t="s">
        <v>1576</v>
      </c>
      <c r="I156" s="66" t="s">
        <v>1577</v>
      </c>
      <c r="J156" s="66" t="s">
        <v>1578</v>
      </c>
      <c r="K156" s="66" t="s">
        <v>37</v>
      </c>
      <c r="L156" s="66" t="s">
        <v>1516</v>
      </c>
      <c r="M156" s="66" t="s">
        <v>1579</v>
      </c>
      <c r="N156" s="66" t="s">
        <v>1580</v>
      </c>
      <c r="O156" s="66" t="s">
        <v>1581</v>
      </c>
      <c r="P156" s="66" t="s">
        <v>43</v>
      </c>
      <c r="Q156" s="66" t="s">
        <v>43</v>
      </c>
      <c r="R156" s="66" t="s">
        <v>1582</v>
      </c>
      <c r="S156" s="66" t="s">
        <v>43</v>
      </c>
      <c r="T156" s="66" t="s">
        <v>45</v>
      </c>
      <c r="U156" s="66" t="s">
        <v>43</v>
      </c>
      <c r="V156" s="66" t="s">
        <v>43</v>
      </c>
      <c r="W156" s="66" t="s">
        <v>43</v>
      </c>
      <c r="X156" s="66" t="s">
        <v>1583</v>
      </c>
      <c r="Y156" s="66" t="s">
        <v>43</v>
      </c>
      <c r="Z156" s="66" t="s">
        <v>43</v>
      </c>
      <c r="AA156" s="66" t="s">
        <v>86</v>
      </c>
      <c r="AB156" s="66"/>
      <c r="AC156" s="66"/>
      <c r="AD156" s="66"/>
    </row>
    <row r="157">
      <c r="A157" s="68" t="s">
        <v>1584</v>
      </c>
      <c r="B157" s="68" t="s">
        <v>1585</v>
      </c>
      <c r="C157" s="68" t="s">
        <v>1586</v>
      </c>
      <c r="D157" s="68" t="s">
        <v>1587</v>
      </c>
      <c r="E157" s="68" t="s">
        <v>1588</v>
      </c>
      <c r="F157" s="68" t="s">
        <v>1589</v>
      </c>
      <c r="G157" s="68" t="s">
        <v>33</v>
      </c>
      <c r="H157" s="69" t="s">
        <v>1590</v>
      </c>
      <c r="I157" s="68" t="s">
        <v>1591</v>
      </c>
      <c r="J157" s="68" t="s">
        <v>1592</v>
      </c>
      <c r="K157" s="68" t="s">
        <v>37</v>
      </c>
      <c r="L157" s="68" t="s">
        <v>1593</v>
      </c>
      <c r="M157" s="68" t="s">
        <v>1594</v>
      </c>
      <c r="N157" s="68" t="s">
        <v>1595</v>
      </c>
      <c r="O157" s="68" t="s">
        <v>216</v>
      </c>
      <c r="P157" s="68" t="s">
        <v>1548</v>
      </c>
      <c r="Q157" s="68" t="s">
        <v>43</v>
      </c>
      <c r="R157" s="68" t="s">
        <v>1596</v>
      </c>
      <c r="S157" s="68" t="s">
        <v>43</v>
      </c>
      <c r="T157" s="68" t="s">
        <v>45</v>
      </c>
      <c r="U157" s="68" t="s">
        <v>43</v>
      </c>
      <c r="V157" s="68" t="s">
        <v>43</v>
      </c>
      <c r="W157" s="68" t="s">
        <v>43</v>
      </c>
      <c r="X157" s="68" t="s">
        <v>1597</v>
      </c>
      <c r="Y157" s="68" t="s">
        <v>43</v>
      </c>
      <c r="Z157" s="68" t="s">
        <v>43</v>
      </c>
      <c r="AA157" s="68" t="s">
        <v>86</v>
      </c>
      <c r="AB157" s="68"/>
      <c r="AC157" s="68"/>
      <c r="AD157" s="68"/>
    </row>
    <row r="158">
      <c r="A158" s="70" t="s">
        <v>1598</v>
      </c>
      <c r="B158" s="70" t="s">
        <v>1599</v>
      </c>
      <c r="C158" s="70" t="s">
        <v>1600</v>
      </c>
      <c r="D158" s="70" t="s">
        <v>1601</v>
      </c>
      <c r="E158" s="70" t="s">
        <v>1602</v>
      </c>
      <c r="F158" s="70" t="s">
        <v>1603</v>
      </c>
      <c r="G158" s="70" t="s">
        <v>58</v>
      </c>
      <c r="H158" s="71" t="s">
        <v>1604</v>
      </c>
      <c r="I158" s="70" t="s">
        <v>1605</v>
      </c>
      <c r="J158" s="70" t="s">
        <v>1606</v>
      </c>
      <c r="K158" s="70" t="s">
        <v>37</v>
      </c>
      <c r="L158" s="70" t="s">
        <v>1607</v>
      </c>
      <c r="M158" s="70" t="s">
        <v>1608</v>
      </c>
      <c r="N158" s="70" t="s">
        <v>1609</v>
      </c>
      <c r="O158" s="70" t="s">
        <v>1473</v>
      </c>
      <c r="P158" s="70" t="s">
        <v>43</v>
      </c>
      <c r="Q158" s="70" t="s">
        <v>43</v>
      </c>
      <c r="R158" s="70" t="s">
        <v>1610</v>
      </c>
      <c r="S158" s="70" t="s">
        <v>43</v>
      </c>
      <c r="T158" s="70" t="s">
        <v>45</v>
      </c>
      <c r="U158" s="70" t="s">
        <v>43</v>
      </c>
      <c r="V158" s="70" t="s">
        <v>43</v>
      </c>
      <c r="W158" s="70" t="s">
        <v>43</v>
      </c>
      <c r="X158" s="70" t="s">
        <v>1611</v>
      </c>
      <c r="Y158" s="70" t="s">
        <v>43</v>
      </c>
      <c r="Z158" s="70" t="s">
        <v>43</v>
      </c>
      <c r="AA158" s="70" t="s">
        <v>86</v>
      </c>
      <c r="AB158" s="70"/>
      <c r="AC158" s="70"/>
      <c r="AD158" s="70"/>
    </row>
    <row r="159">
      <c r="A159" s="72" t="s">
        <v>1612</v>
      </c>
      <c r="B159" s="72" t="s">
        <v>1613</v>
      </c>
      <c r="C159" s="72" t="s">
        <v>1614</v>
      </c>
      <c r="D159" s="72" t="s">
        <v>1615</v>
      </c>
      <c r="E159" s="72" t="s">
        <v>1616</v>
      </c>
      <c r="F159" s="72" t="s">
        <v>1617</v>
      </c>
      <c r="G159" s="72" t="s">
        <v>33</v>
      </c>
      <c r="H159" s="73" t="s">
        <v>1618</v>
      </c>
      <c r="I159" s="72" t="s">
        <v>1619</v>
      </c>
      <c r="J159" s="72" t="s">
        <v>1620</v>
      </c>
      <c r="K159" s="72" t="s">
        <v>37</v>
      </c>
      <c r="L159" s="72" t="s">
        <v>1607</v>
      </c>
      <c r="M159" s="72" t="s">
        <v>1621</v>
      </c>
      <c r="N159" s="72" t="s">
        <v>1622</v>
      </c>
      <c r="O159" s="72" t="s">
        <v>1623</v>
      </c>
      <c r="P159" s="72" t="s">
        <v>43</v>
      </c>
      <c r="Q159" s="72" t="s">
        <v>43</v>
      </c>
      <c r="R159" s="72" t="s">
        <v>1610</v>
      </c>
      <c r="S159" s="72" t="s">
        <v>43</v>
      </c>
      <c r="T159" s="72" t="s">
        <v>45</v>
      </c>
      <c r="U159" s="72" t="s">
        <v>43</v>
      </c>
      <c r="V159" s="72" t="s">
        <v>43</v>
      </c>
      <c r="W159" s="72" t="s">
        <v>43</v>
      </c>
      <c r="X159" s="72" t="s">
        <v>1624</v>
      </c>
      <c r="Y159" s="72" t="s">
        <v>43</v>
      </c>
      <c r="Z159" s="72" t="s">
        <v>43</v>
      </c>
      <c r="AA159" s="72" t="s">
        <v>86</v>
      </c>
      <c r="AB159" s="72"/>
      <c r="AC159" s="72"/>
      <c r="AD159" s="72"/>
    </row>
    <row r="160">
      <c r="A160" s="74" t="s">
        <v>1625</v>
      </c>
      <c r="B160" s="74" t="s">
        <v>1626</v>
      </c>
      <c r="C160" s="74" t="s">
        <v>1627</v>
      </c>
      <c r="D160" s="74" t="s">
        <v>1628</v>
      </c>
      <c r="E160" s="74" t="s">
        <v>1627</v>
      </c>
      <c r="F160" s="74" t="s">
        <v>1629</v>
      </c>
      <c r="G160" s="74" t="s">
        <v>58</v>
      </c>
      <c r="H160" s="75" t="s">
        <v>1630</v>
      </c>
      <c r="I160" s="74" t="s">
        <v>1631</v>
      </c>
      <c r="J160" s="74" t="s">
        <v>1632</v>
      </c>
      <c r="K160" s="74" t="s">
        <v>37</v>
      </c>
      <c r="L160" s="74" t="s">
        <v>1633</v>
      </c>
      <c r="M160" s="74" t="s">
        <v>1634</v>
      </c>
      <c r="N160" s="74" t="s">
        <v>1635</v>
      </c>
      <c r="O160" s="74" t="s">
        <v>1636</v>
      </c>
      <c r="P160" s="74" t="s">
        <v>43</v>
      </c>
      <c r="Q160" s="74" t="s">
        <v>43</v>
      </c>
      <c r="R160" s="74" t="s">
        <v>291</v>
      </c>
      <c r="S160" s="74" t="s">
        <v>43</v>
      </c>
      <c r="T160" s="74" t="s">
        <v>45</v>
      </c>
      <c r="U160" s="74" t="s">
        <v>43</v>
      </c>
      <c r="V160" s="74" t="s">
        <v>43</v>
      </c>
      <c r="W160" s="74" t="s">
        <v>43</v>
      </c>
      <c r="X160" s="74" t="s">
        <v>130</v>
      </c>
      <c r="Y160" s="74" t="s">
        <v>43</v>
      </c>
      <c r="Z160" s="74" t="s">
        <v>43</v>
      </c>
      <c r="AA160" s="74" t="s">
        <v>131</v>
      </c>
      <c r="AB160" s="74"/>
      <c r="AC160" s="74"/>
      <c r="AD160" s="74"/>
    </row>
    <row r="161">
      <c r="A161" s="76" t="s">
        <v>1637</v>
      </c>
      <c r="B161" s="76" t="s">
        <v>1638</v>
      </c>
      <c r="C161" s="76" t="s">
        <v>1639</v>
      </c>
      <c r="D161" s="76" t="s">
        <v>1640</v>
      </c>
      <c r="E161" s="76" t="s">
        <v>1641</v>
      </c>
      <c r="F161" s="76" t="s">
        <v>1642</v>
      </c>
      <c r="G161" s="76" t="s">
        <v>58</v>
      </c>
      <c r="H161" s="77" t="s">
        <v>1643</v>
      </c>
      <c r="I161" s="76" t="s">
        <v>1644</v>
      </c>
      <c r="J161" s="76" t="s">
        <v>1645</v>
      </c>
      <c r="K161" s="76" t="s">
        <v>37</v>
      </c>
      <c r="L161" s="76" t="s">
        <v>93</v>
      </c>
      <c r="M161" s="76" t="s">
        <v>1646</v>
      </c>
      <c r="N161" s="76" t="s">
        <v>1647</v>
      </c>
      <c r="O161" s="76" t="s">
        <v>1648</v>
      </c>
      <c r="P161" s="76" t="s">
        <v>43</v>
      </c>
      <c r="Q161" s="76" t="s">
        <v>1649</v>
      </c>
      <c r="R161" s="76" t="s">
        <v>1650</v>
      </c>
      <c r="S161" s="76" t="s">
        <v>1651</v>
      </c>
      <c r="T161" s="76" t="s">
        <v>308</v>
      </c>
      <c r="U161" s="76" t="s">
        <v>1652</v>
      </c>
      <c r="V161" s="78">
        <v>45607.0</v>
      </c>
      <c r="W161" s="76" t="s">
        <v>43</v>
      </c>
      <c r="X161" s="76" t="s">
        <v>1653</v>
      </c>
      <c r="Y161" s="76" t="s">
        <v>43</v>
      </c>
      <c r="Z161" s="76" t="s">
        <v>43</v>
      </c>
      <c r="AA161" s="76" t="s">
        <v>1654</v>
      </c>
      <c r="AB161" s="76"/>
      <c r="AC161" s="76"/>
      <c r="AD161" s="76"/>
    </row>
    <row r="162">
      <c r="A162" s="79" t="s">
        <v>1655</v>
      </c>
      <c r="B162" s="79" t="s">
        <v>1656</v>
      </c>
      <c r="C162" s="79" t="s">
        <v>1657</v>
      </c>
      <c r="D162" s="79" t="s">
        <v>1658</v>
      </c>
      <c r="E162" s="79" t="s">
        <v>1659</v>
      </c>
      <c r="F162" s="79" t="s">
        <v>1660</v>
      </c>
      <c r="G162" s="79" t="s">
        <v>118</v>
      </c>
      <c r="H162" s="79" t="s">
        <v>1661</v>
      </c>
      <c r="I162" s="79" t="s">
        <v>1662</v>
      </c>
      <c r="J162" s="79" t="s">
        <v>1663</v>
      </c>
      <c r="K162" s="79" t="s">
        <v>1124</v>
      </c>
      <c r="L162" s="79" t="s">
        <v>1664</v>
      </c>
      <c r="M162" s="79" t="s">
        <v>745</v>
      </c>
      <c r="N162" s="79" t="s">
        <v>1665</v>
      </c>
      <c r="O162" s="79" t="s">
        <v>1666</v>
      </c>
      <c r="P162" s="79" t="s">
        <v>1667</v>
      </c>
      <c r="Q162" s="79" t="s">
        <v>1668</v>
      </c>
      <c r="R162" s="79" t="s">
        <v>1566</v>
      </c>
      <c r="S162" s="79" t="s">
        <v>1669</v>
      </c>
      <c r="T162" s="79" t="s">
        <v>69</v>
      </c>
      <c r="U162" s="79" t="s">
        <v>70</v>
      </c>
      <c r="V162" s="80">
        <v>45969.0</v>
      </c>
      <c r="W162" s="79" t="s">
        <v>566</v>
      </c>
      <c r="X162" s="81" t="s">
        <v>1670</v>
      </c>
      <c r="Y162" s="82">
        <v>4.0</v>
      </c>
      <c r="Z162" s="79" t="s">
        <v>567</v>
      </c>
      <c r="AA162" s="79" t="s">
        <v>1671</v>
      </c>
      <c r="AB162" s="83"/>
      <c r="AC162" s="83"/>
      <c r="AD162" s="83"/>
    </row>
    <row r="163">
      <c r="A163" s="79" t="s">
        <v>1672</v>
      </c>
      <c r="B163" s="79" t="s">
        <v>1673</v>
      </c>
      <c r="C163" s="79" t="s">
        <v>1657</v>
      </c>
      <c r="D163" s="79" t="s">
        <v>1658</v>
      </c>
      <c r="E163" s="79" t="s">
        <v>1674</v>
      </c>
      <c r="F163" s="79" t="s">
        <v>1675</v>
      </c>
      <c r="G163" s="79" t="s">
        <v>118</v>
      </c>
      <c r="H163" s="84" t="s">
        <v>1676</v>
      </c>
      <c r="I163" s="79" t="s">
        <v>1677</v>
      </c>
      <c r="J163" s="79" t="s">
        <v>1678</v>
      </c>
      <c r="K163" s="79" t="s">
        <v>1124</v>
      </c>
      <c r="L163" s="79" t="s">
        <v>1679</v>
      </c>
      <c r="M163" s="79" t="s">
        <v>1680</v>
      </c>
      <c r="N163" s="79" t="s">
        <v>1665</v>
      </c>
      <c r="O163" s="79" t="s">
        <v>1666</v>
      </c>
      <c r="P163" s="79"/>
      <c r="Q163" s="79" t="s">
        <v>1681</v>
      </c>
      <c r="R163" s="79" t="s">
        <v>1566</v>
      </c>
      <c r="S163" s="79" t="s">
        <v>1682</v>
      </c>
      <c r="T163" s="81" t="s">
        <v>1683</v>
      </c>
      <c r="U163" s="79" t="s">
        <v>70</v>
      </c>
      <c r="V163" s="79" t="s">
        <v>1684</v>
      </c>
      <c r="W163" s="79" t="s">
        <v>566</v>
      </c>
      <c r="X163" s="79" t="s">
        <v>1685</v>
      </c>
      <c r="Y163" s="82">
        <v>4.0</v>
      </c>
      <c r="Z163" s="79" t="s">
        <v>567</v>
      </c>
      <c r="AA163" s="79" t="s">
        <v>1671</v>
      </c>
      <c r="AB163" s="83"/>
      <c r="AC163" s="83"/>
      <c r="AD163" s="83"/>
    </row>
    <row r="164">
      <c r="A164" s="79" t="s">
        <v>1686</v>
      </c>
      <c r="B164" s="79" t="s">
        <v>1687</v>
      </c>
      <c r="C164" s="79" t="s">
        <v>1657</v>
      </c>
      <c r="D164" s="79" t="s">
        <v>1658</v>
      </c>
      <c r="E164" s="79" t="s">
        <v>1688</v>
      </c>
      <c r="F164" s="79" t="s">
        <v>1689</v>
      </c>
      <c r="G164" s="79" t="s">
        <v>118</v>
      </c>
      <c r="H164" s="79" t="s">
        <v>1690</v>
      </c>
      <c r="I164" s="79" t="s">
        <v>1691</v>
      </c>
      <c r="J164" s="79" t="s">
        <v>1692</v>
      </c>
      <c r="K164" s="79" t="s">
        <v>1124</v>
      </c>
      <c r="L164" s="79" t="s">
        <v>1664</v>
      </c>
      <c r="M164" s="79" t="s">
        <v>1693</v>
      </c>
      <c r="N164" s="79" t="s">
        <v>1665</v>
      </c>
      <c r="O164" s="79" t="s">
        <v>1666</v>
      </c>
      <c r="P164" s="79"/>
      <c r="Q164" s="79" t="s">
        <v>1694</v>
      </c>
      <c r="R164" s="79" t="s">
        <v>1695</v>
      </c>
      <c r="S164" s="79" t="s">
        <v>1692</v>
      </c>
      <c r="T164" s="79" t="s">
        <v>69</v>
      </c>
      <c r="U164" s="79" t="s">
        <v>70</v>
      </c>
      <c r="V164" s="79" t="s">
        <v>1684</v>
      </c>
      <c r="W164" s="79" t="s">
        <v>566</v>
      </c>
      <c r="X164" s="79" t="s">
        <v>1685</v>
      </c>
      <c r="Y164" s="82">
        <v>4.0</v>
      </c>
      <c r="Z164" s="79" t="s">
        <v>567</v>
      </c>
      <c r="AA164" s="79" t="s">
        <v>1671</v>
      </c>
      <c r="AB164" s="83"/>
      <c r="AC164" s="83"/>
      <c r="AD164" s="83"/>
    </row>
    <row r="165">
      <c r="A165" s="79" t="s">
        <v>1696</v>
      </c>
      <c r="B165" s="79" t="s">
        <v>1697</v>
      </c>
      <c r="C165" s="79" t="s">
        <v>1657</v>
      </c>
      <c r="D165" s="79" t="s">
        <v>1658</v>
      </c>
      <c r="E165" s="79" t="s">
        <v>1698</v>
      </c>
      <c r="F165" s="79" t="s">
        <v>1699</v>
      </c>
      <c r="G165" s="79" t="s">
        <v>118</v>
      </c>
      <c r="H165" s="79" t="s">
        <v>1700</v>
      </c>
      <c r="I165" s="79" t="s">
        <v>1701</v>
      </c>
      <c r="J165" s="79" t="s">
        <v>1702</v>
      </c>
      <c r="K165" s="79" t="s">
        <v>1124</v>
      </c>
      <c r="L165" s="79" t="s">
        <v>1679</v>
      </c>
      <c r="M165" s="79" t="s">
        <v>1703</v>
      </c>
      <c r="N165" s="79" t="s">
        <v>1665</v>
      </c>
      <c r="O165" s="79" t="s">
        <v>1666</v>
      </c>
      <c r="P165" s="79"/>
      <c r="Q165" s="79" t="s">
        <v>1704</v>
      </c>
      <c r="R165" s="79" t="s">
        <v>1705</v>
      </c>
      <c r="S165" s="79" t="s">
        <v>1706</v>
      </c>
      <c r="T165" s="81" t="s">
        <v>1683</v>
      </c>
      <c r="U165" s="79" t="s">
        <v>70</v>
      </c>
      <c r="V165" s="80">
        <v>45969.0</v>
      </c>
      <c r="W165" s="79" t="s">
        <v>566</v>
      </c>
      <c r="X165" s="79" t="s">
        <v>1685</v>
      </c>
      <c r="Y165" s="82">
        <v>4.0</v>
      </c>
      <c r="Z165" s="79" t="s">
        <v>567</v>
      </c>
      <c r="AA165" s="79" t="s">
        <v>1671</v>
      </c>
      <c r="AB165" s="83"/>
      <c r="AC165" s="83"/>
      <c r="AD165" s="83"/>
    </row>
    <row r="166">
      <c r="A166" s="79" t="s">
        <v>1707</v>
      </c>
      <c r="B166" s="79" t="s">
        <v>1708</v>
      </c>
      <c r="C166" s="79" t="s">
        <v>1657</v>
      </c>
      <c r="D166" s="79" t="s">
        <v>1658</v>
      </c>
      <c r="E166" s="79" t="s">
        <v>1674</v>
      </c>
      <c r="F166" s="79" t="s">
        <v>1709</v>
      </c>
      <c r="G166" s="79" t="s">
        <v>58</v>
      </c>
      <c r="H166" s="79" t="s">
        <v>1710</v>
      </c>
      <c r="I166" s="79" t="s">
        <v>1711</v>
      </c>
      <c r="J166" s="79" t="s">
        <v>1712</v>
      </c>
      <c r="K166" s="79" t="s">
        <v>1713</v>
      </c>
      <c r="L166" s="79" t="s">
        <v>1679</v>
      </c>
      <c r="M166" s="79" t="s">
        <v>604</v>
      </c>
      <c r="N166" s="79" t="s">
        <v>1714</v>
      </c>
      <c r="O166" s="79" t="s">
        <v>1715</v>
      </c>
      <c r="P166" s="79" t="s">
        <v>1716</v>
      </c>
      <c r="Q166" s="79" t="s">
        <v>1717</v>
      </c>
      <c r="R166" s="79" t="s">
        <v>1718</v>
      </c>
      <c r="S166" s="79" t="s">
        <v>1712</v>
      </c>
      <c r="T166" s="79" t="s">
        <v>69</v>
      </c>
      <c r="U166" s="79" t="s">
        <v>70</v>
      </c>
      <c r="V166" s="79" t="s">
        <v>1684</v>
      </c>
      <c r="W166" s="79" t="s">
        <v>566</v>
      </c>
      <c r="X166" s="79" t="s">
        <v>1685</v>
      </c>
      <c r="Y166" s="82">
        <v>4.0</v>
      </c>
      <c r="Z166" s="79" t="s">
        <v>567</v>
      </c>
      <c r="AA166" s="79" t="s">
        <v>1671</v>
      </c>
      <c r="AB166" s="83"/>
      <c r="AC166" s="83"/>
      <c r="AD166" s="83"/>
    </row>
    <row r="167">
      <c r="A167" s="79" t="s">
        <v>1719</v>
      </c>
      <c r="B167" s="79" t="s">
        <v>1720</v>
      </c>
      <c r="C167" s="79" t="s">
        <v>1657</v>
      </c>
      <c r="D167" s="79" t="s">
        <v>1658</v>
      </c>
      <c r="E167" s="79" t="s">
        <v>1721</v>
      </c>
      <c r="F167" s="79" t="s">
        <v>1722</v>
      </c>
      <c r="G167" s="79" t="s">
        <v>58</v>
      </c>
      <c r="H167" s="79" t="s">
        <v>1723</v>
      </c>
      <c r="I167" s="79" t="s">
        <v>1724</v>
      </c>
      <c r="J167" s="79" t="s">
        <v>1725</v>
      </c>
      <c r="K167" s="79" t="s">
        <v>1713</v>
      </c>
      <c r="L167" s="79" t="s">
        <v>1679</v>
      </c>
      <c r="M167" s="79" t="s">
        <v>1726</v>
      </c>
      <c r="N167" s="79" t="s">
        <v>1714</v>
      </c>
      <c r="O167" s="79" t="s">
        <v>1715</v>
      </c>
      <c r="P167" s="79" t="s">
        <v>1716</v>
      </c>
      <c r="Q167" s="85" t="s">
        <v>1727</v>
      </c>
      <c r="R167" s="79" t="s">
        <v>1728</v>
      </c>
      <c r="S167" s="79" t="s">
        <v>1725</v>
      </c>
      <c r="T167" s="79" t="s">
        <v>69</v>
      </c>
      <c r="U167" s="79" t="s">
        <v>70</v>
      </c>
      <c r="V167" s="79" t="s">
        <v>1684</v>
      </c>
      <c r="W167" s="79" t="s">
        <v>566</v>
      </c>
      <c r="X167" s="79" t="s">
        <v>1685</v>
      </c>
      <c r="Y167" s="82">
        <v>4.0</v>
      </c>
      <c r="Z167" s="79" t="s">
        <v>567</v>
      </c>
      <c r="AA167" s="79" t="s">
        <v>1671</v>
      </c>
      <c r="AB167" s="83"/>
      <c r="AC167" s="83"/>
      <c r="AD167" s="83"/>
    </row>
    <row r="168">
      <c r="A168" s="79" t="s">
        <v>1729</v>
      </c>
      <c r="B168" s="79" t="s">
        <v>1730</v>
      </c>
      <c r="C168" s="79" t="s">
        <v>1657</v>
      </c>
      <c r="D168" s="79" t="s">
        <v>1658</v>
      </c>
      <c r="E168" s="79" t="s">
        <v>1731</v>
      </c>
      <c r="F168" s="79" t="s">
        <v>1732</v>
      </c>
      <c r="G168" s="79" t="s">
        <v>58</v>
      </c>
      <c r="H168" s="79" t="s">
        <v>1733</v>
      </c>
      <c r="I168" s="79" t="s">
        <v>1734</v>
      </c>
      <c r="J168" s="79" t="s">
        <v>1735</v>
      </c>
      <c r="K168" s="79" t="s">
        <v>1713</v>
      </c>
      <c r="L168" s="79" t="s">
        <v>1679</v>
      </c>
      <c r="M168" s="79" t="s">
        <v>829</v>
      </c>
      <c r="N168" s="79" t="s">
        <v>1714</v>
      </c>
      <c r="O168" s="79" t="s">
        <v>1715</v>
      </c>
      <c r="P168" s="79" t="s">
        <v>1716</v>
      </c>
      <c r="Q168" s="85" t="s">
        <v>1727</v>
      </c>
      <c r="R168" s="79" t="s">
        <v>1728</v>
      </c>
      <c r="S168" s="79" t="s">
        <v>1735</v>
      </c>
      <c r="T168" s="79" t="s">
        <v>69</v>
      </c>
      <c r="U168" s="79" t="s">
        <v>70</v>
      </c>
      <c r="V168" s="80">
        <v>45969.0</v>
      </c>
      <c r="W168" s="79" t="s">
        <v>566</v>
      </c>
      <c r="X168" s="79" t="s">
        <v>1685</v>
      </c>
      <c r="Y168" s="82">
        <v>4.0</v>
      </c>
      <c r="Z168" s="79" t="s">
        <v>567</v>
      </c>
      <c r="AA168" s="79" t="s">
        <v>1671</v>
      </c>
      <c r="AB168" s="83"/>
      <c r="AC168" s="83"/>
      <c r="AD168" s="83"/>
    </row>
    <row r="169">
      <c r="A169" s="79" t="s">
        <v>1736</v>
      </c>
      <c r="B169" s="79" t="s">
        <v>1737</v>
      </c>
      <c r="C169" s="79" t="s">
        <v>1657</v>
      </c>
      <c r="D169" s="79" t="s">
        <v>1658</v>
      </c>
      <c r="E169" s="79" t="s">
        <v>1738</v>
      </c>
      <c r="F169" s="79" t="s">
        <v>1739</v>
      </c>
      <c r="G169" s="79" t="s">
        <v>253</v>
      </c>
      <c r="H169" s="79" t="s">
        <v>1740</v>
      </c>
      <c r="I169" s="79" t="s">
        <v>1741</v>
      </c>
      <c r="J169" s="79" t="s">
        <v>1742</v>
      </c>
      <c r="K169" s="79" t="s">
        <v>1713</v>
      </c>
      <c r="L169" s="79" t="s">
        <v>1679</v>
      </c>
      <c r="M169" s="79" t="s">
        <v>604</v>
      </c>
      <c r="N169" s="79" t="s">
        <v>1743</v>
      </c>
      <c r="O169" s="79" t="s">
        <v>1715</v>
      </c>
      <c r="P169" s="79"/>
      <c r="Q169" s="85" t="s">
        <v>1727</v>
      </c>
      <c r="R169" s="79" t="s">
        <v>1728</v>
      </c>
      <c r="S169" s="79" t="s">
        <v>1742</v>
      </c>
      <c r="T169" s="79" t="s">
        <v>69</v>
      </c>
      <c r="U169" s="79" t="s">
        <v>70</v>
      </c>
      <c r="V169" s="79" t="s">
        <v>1684</v>
      </c>
      <c r="W169" s="79" t="s">
        <v>566</v>
      </c>
      <c r="X169" s="79" t="s">
        <v>1685</v>
      </c>
      <c r="Y169" s="82">
        <v>4.0</v>
      </c>
      <c r="Z169" s="79" t="s">
        <v>567</v>
      </c>
      <c r="AA169" s="79" t="s">
        <v>1671</v>
      </c>
      <c r="AB169" s="83"/>
      <c r="AC169" s="83"/>
      <c r="AD169" s="83"/>
    </row>
    <row r="170">
      <c r="A170" s="79" t="s">
        <v>1744</v>
      </c>
      <c r="B170" s="79" t="s">
        <v>1708</v>
      </c>
      <c r="C170" s="79" t="s">
        <v>1657</v>
      </c>
      <c r="D170" s="79" t="s">
        <v>1658</v>
      </c>
      <c r="E170" s="79" t="s">
        <v>1674</v>
      </c>
      <c r="F170" s="79" t="s">
        <v>1745</v>
      </c>
      <c r="G170" s="79" t="s">
        <v>58</v>
      </c>
      <c r="H170" s="79" t="s">
        <v>1746</v>
      </c>
      <c r="I170" s="79" t="s">
        <v>1747</v>
      </c>
      <c r="J170" s="79" t="s">
        <v>1748</v>
      </c>
      <c r="K170" s="79" t="s">
        <v>1713</v>
      </c>
      <c r="L170" s="79" t="s">
        <v>1679</v>
      </c>
      <c r="M170" s="79" t="s">
        <v>1749</v>
      </c>
      <c r="N170" s="79" t="s">
        <v>1714</v>
      </c>
      <c r="O170" s="79" t="s">
        <v>1715</v>
      </c>
      <c r="P170" s="79" t="s">
        <v>1716</v>
      </c>
      <c r="Q170" s="79" t="s">
        <v>1717</v>
      </c>
      <c r="R170" s="79" t="s">
        <v>1718</v>
      </c>
      <c r="S170" s="79" t="s">
        <v>1748</v>
      </c>
      <c r="T170" s="79" t="s">
        <v>69</v>
      </c>
      <c r="U170" s="79" t="s">
        <v>70</v>
      </c>
      <c r="V170" s="79" t="s">
        <v>1684</v>
      </c>
      <c r="W170" s="79" t="s">
        <v>566</v>
      </c>
      <c r="X170" s="79" t="s">
        <v>1750</v>
      </c>
      <c r="Y170" s="82">
        <v>4.0</v>
      </c>
      <c r="Z170" s="79" t="s">
        <v>567</v>
      </c>
      <c r="AA170" s="79" t="s">
        <v>1671</v>
      </c>
      <c r="AB170" s="83"/>
      <c r="AC170" s="83"/>
      <c r="AD170" s="83"/>
    </row>
    <row r="171">
      <c r="A171" s="79" t="s">
        <v>1751</v>
      </c>
      <c r="B171" s="79" t="s">
        <v>1730</v>
      </c>
      <c r="C171" s="79" t="s">
        <v>1657</v>
      </c>
      <c r="D171" s="79" t="s">
        <v>1658</v>
      </c>
      <c r="E171" s="79" t="s">
        <v>1731</v>
      </c>
      <c r="F171" s="79" t="s">
        <v>1752</v>
      </c>
      <c r="G171" s="79" t="s">
        <v>58</v>
      </c>
      <c r="H171" s="79" t="s">
        <v>1753</v>
      </c>
      <c r="I171" s="79" t="s">
        <v>1754</v>
      </c>
      <c r="J171" s="79" t="s">
        <v>1755</v>
      </c>
      <c r="K171" s="79" t="s">
        <v>1713</v>
      </c>
      <c r="L171" s="79" t="s">
        <v>1679</v>
      </c>
      <c r="M171" s="79" t="s">
        <v>604</v>
      </c>
      <c r="N171" s="79" t="s">
        <v>1714</v>
      </c>
      <c r="O171" s="79" t="s">
        <v>1715</v>
      </c>
      <c r="P171" s="79" t="s">
        <v>1716</v>
      </c>
      <c r="Q171" s="85" t="s">
        <v>1727</v>
      </c>
      <c r="R171" s="79" t="s">
        <v>1728</v>
      </c>
      <c r="S171" s="79" t="s">
        <v>1755</v>
      </c>
      <c r="T171" s="79" t="s">
        <v>69</v>
      </c>
      <c r="U171" s="79" t="s">
        <v>70</v>
      </c>
      <c r="V171" s="79" t="s">
        <v>1684</v>
      </c>
      <c r="W171" s="79" t="s">
        <v>566</v>
      </c>
      <c r="X171" s="79" t="s">
        <v>1685</v>
      </c>
      <c r="Y171" s="82">
        <v>4.0</v>
      </c>
      <c r="Z171" s="79" t="s">
        <v>567</v>
      </c>
      <c r="AA171" s="79" t="s">
        <v>1671</v>
      </c>
      <c r="AB171" s="83"/>
      <c r="AC171" s="83"/>
      <c r="AD171" s="83"/>
    </row>
    <row r="172">
      <c r="A172" s="79" t="s">
        <v>1756</v>
      </c>
      <c r="B172" s="79" t="s">
        <v>1720</v>
      </c>
      <c r="C172" s="79" t="s">
        <v>1657</v>
      </c>
      <c r="D172" s="79" t="s">
        <v>1658</v>
      </c>
      <c r="E172" s="79" t="s">
        <v>1721</v>
      </c>
      <c r="F172" s="79" t="s">
        <v>1757</v>
      </c>
      <c r="G172" s="79" t="s">
        <v>58</v>
      </c>
      <c r="H172" s="79" t="s">
        <v>1758</v>
      </c>
      <c r="I172" s="79" t="s">
        <v>1759</v>
      </c>
      <c r="J172" s="79" t="s">
        <v>1760</v>
      </c>
      <c r="K172" s="79" t="s">
        <v>1713</v>
      </c>
      <c r="L172" s="79" t="s">
        <v>1679</v>
      </c>
      <c r="M172" s="79" t="s">
        <v>1726</v>
      </c>
      <c r="N172" s="79" t="s">
        <v>1714</v>
      </c>
      <c r="O172" s="79" t="s">
        <v>1715</v>
      </c>
      <c r="P172" s="79" t="s">
        <v>1716</v>
      </c>
      <c r="Q172" s="85" t="s">
        <v>1727</v>
      </c>
      <c r="R172" s="79" t="s">
        <v>1728</v>
      </c>
      <c r="S172" s="79" t="s">
        <v>1760</v>
      </c>
      <c r="T172" s="79" t="s">
        <v>69</v>
      </c>
      <c r="U172" s="79" t="s">
        <v>70</v>
      </c>
      <c r="V172" s="79" t="s">
        <v>1684</v>
      </c>
      <c r="W172" s="79" t="s">
        <v>566</v>
      </c>
      <c r="X172" s="79" t="s">
        <v>1685</v>
      </c>
      <c r="Y172" s="82">
        <v>4.0</v>
      </c>
      <c r="Z172" s="79" t="s">
        <v>567</v>
      </c>
      <c r="AA172" s="79" t="s">
        <v>1671</v>
      </c>
      <c r="AB172" s="83"/>
      <c r="AC172" s="83"/>
      <c r="AD172" s="83"/>
    </row>
    <row r="173">
      <c r="A173" s="79" t="s">
        <v>1761</v>
      </c>
      <c r="B173" s="79" t="s">
        <v>1762</v>
      </c>
      <c r="C173" s="79" t="s">
        <v>1657</v>
      </c>
      <c r="D173" s="79" t="s">
        <v>1658</v>
      </c>
      <c r="E173" s="79" t="s">
        <v>1698</v>
      </c>
      <c r="F173" s="79" t="s">
        <v>1763</v>
      </c>
      <c r="G173" s="79" t="s">
        <v>58</v>
      </c>
      <c r="H173" s="79" t="s">
        <v>1764</v>
      </c>
      <c r="I173" s="79" t="s">
        <v>1765</v>
      </c>
      <c r="J173" s="79" t="s">
        <v>1766</v>
      </c>
      <c r="K173" s="79" t="s">
        <v>1713</v>
      </c>
      <c r="L173" s="79" t="s">
        <v>1679</v>
      </c>
      <c r="M173" s="79" t="s">
        <v>1703</v>
      </c>
      <c r="N173" s="79" t="s">
        <v>1714</v>
      </c>
      <c r="O173" s="79" t="s">
        <v>1715</v>
      </c>
      <c r="P173" s="79" t="s">
        <v>1716</v>
      </c>
      <c r="Q173" s="85" t="s">
        <v>1727</v>
      </c>
      <c r="R173" s="79" t="s">
        <v>1728</v>
      </c>
      <c r="S173" s="79" t="s">
        <v>1766</v>
      </c>
      <c r="T173" s="79" t="s">
        <v>69</v>
      </c>
      <c r="U173" s="79" t="s">
        <v>70</v>
      </c>
      <c r="V173" s="79" t="s">
        <v>1684</v>
      </c>
      <c r="W173" s="79" t="s">
        <v>566</v>
      </c>
      <c r="X173" s="79" t="s">
        <v>1685</v>
      </c>
      <c r="Y173" s="82">
        <v>4.0</v>
      </c>
      <c r="Z173" s="79" t="s">
        <v>567</v>
      </c>
      <c r="AA173" s="79" t="s">
        <v>1671</v>
      </c>
      <c r="AB173" s="83"/>
      <c r="AC173" s="83"/>
      <c r="AD173" s="83"/>
    </row>
    <row r="174">
      <c r="A174" s="79" t="s">
        <v>1767</v>
      </c>
      <c r="B174" s="79" t="s">
        <v>1768</v>
      </c>
      <c r="C174" s="79" t="s">
        <v>1657</v>
      </c>
      <c r="D174" s="79" t="s">
        <v>1658</v>
      </c>
      <c r="E174" s="79" t="s">
        <v>1674</v>
      </c>
      <c r="F174" s="79" t="s">
        <v>1769</v>
      </c>
      <c r="G174" s="79" t="s">
        <v>33</v>
      </c>
      <c r="H174" s="79" t="s">
        <v>1770</v>
      </c>
      <c r="I174" s="79" t="s">
        <v>1771</v>
      </c>
      <c r="J174" s="79" t="s">
        <v>1772</v>
      </c>
      <c r="K174" s="79" t="s">
        <v>1713</v>
      </c>
      <c r="L174" s="79" t="s">
        <v>1679</v>
      </c>
      <c r="M174" s="79" t="s">
        <v>604</v>
      </c>
      <c r="N174" s="79" t="s">
        <v>1743</v>
      </c>
      <c r="O174" s="79" t="s">
        <v>1715</v>
      </c>
      <c r="P174" s="79"/>
      <c r="Q174" s="85" t="s">
        <v>1727</v>
      </c>
      <c r="R174" s="79" t="s">
        <v>1728</v>
      </c>
      <c r="S174" s="79" t="s">
        <v>1772</v>
      </c>
      <c r="T174" s="79" t="s">
        <v>69</v>
      </c>
      <c r="U174" s="79" t="s">
        <v>70</v>
      </c>
      <c r="V174" s="79" t="s">
        <v>1684</v>
      </c>
      <c r="W174" s="79" t="s">
        <v>566</v>
      </c>
      <c r="X174" s="79" t="s">
        <v>1685</v>
      </c>
      <c r="Y174" s="82">
        <v>4.0</v>
      </c>
      <c r="Z174" s="79" t="s">
        <v>567</v>
      </c>
      <c r="AA174" s="79" t="s">
        <v>1671</v>
      </c>
      <c r="AB174" s="83"/>
      <c r="AC174" s="83"/>
      <c r="AD174" s="83"/>
    </row>
    <row r="175">
      <c r="A175" s="79" t="s">
        <v>1773</v>
      </c>
      <c r="B175" s="79" t="s">
        <v>1774</v>
      </c>
      <c r="C175" s="79" t="s">
        <v>1657</v>
      </c>
      <c r="D175" s="79" t="s">
        <v>1658</v>
      </c>
      <c r="E175" s="79" t="s">
        <v>1775</v>
      </c>
      <c r="F175" s="79" t="s">
        <v>1776</v>
      </c>
      <c r="G175" s="79" t="s">
        <v>58</v>
      </c>
      <c r="H175" s="79" t="s">
        <v>1777</v>
      </c>
      <c r="I175" s="79" t="s">
        <v>1778</v>
      </c>
      <c r="J175" s="79" t="s">
        <v>1779</v>
      </c>
      <c r="K175" s="79" t="s">
        <v>1713</v>
      </c>
      <c r="L175" s="79" t="s">
        <v>1679</v>
      </c>
      <c r="M175" s="79" t="s">
        <v>738</v>
      </c>
      <c r="N175" s="79" t="s">
        <v>1714</v>
      </c>
      <c r="O175" s="79" t="s">
        <v>1715</v>
      </c>
      <c r="P175" s="79" t="s">
        <v>1716</v>
      </c>
      <c r="Q175" s="85" t="s">
        <v>1727</v>
      </c>
      <c r="R175" s="79" t="s">
        <v>1728</v>
      </c>
      <c r="S175" s="79" t="s">
        <v>1779</v>
      </c>
      <c r="T175" s="79" t="s">
        <v>69</v>
      </c>
      <c r="U175" s="79" t="s">
        <v>70</v>
      </c>
      <c r="V175" s="79" t="s">
        <v>1684</v>
      </c>
      <c r="W175" s="79" t="s">
        <v>566</v>
      </c>
      <c r="X175" s="79" t="s">
        <v>1685</v>
      </c>
      <c r="Y175" s="82">
        <v>4.0</v>
      </c>
      <c r="Z175" s="79" t="s">
        <v>567</v>
      </c>
      <c r="AA175" s="79" t="s">
        <v>1671</v>
      </c>
      <c r="AB175" s="83"/>
      <c r="AC175" s="83"/>
      <c r="AD175" s="83"/>
    </row>
    <row r="176">
      <c r="A176" s="79" t="s">
        <v>1780</v>
      </c>
      <c r="B176" s="79" t="s">
        <v>1781</v>
      </c>
      <c r="C176" s="79" t="s">
        <v>1657</v>
      </c>
      <c r="D176" s="79" t="s">
        <v>1658</v>
      </c>
      <c r="E176" s="79" t="s">
        <v>1674</v>
      </c>
      <c r="F176" s="79" t="s">
        <v>1782</v>
      </c>
      <c r="G176" s="79" t="s">
        <v>253</v>
      </c>
      <c r="H176" s="84" t="s">
        <v>1783</v>
      </c>
      <c r="I176" s="79" t="s">
        <v>1784</v>
      </c>
      <c r="J176" s="79" t="s">
        <v>1785</v>
      </c>
      <c r="K176" s="79" t="s">
        <v>1713</v>
      </c>
      <c r="L176" s="79" t="s">
        <v>1679</v>
      </c>
      <c r="M176" s="79" t="s">
        <v>1703</v>
      </c>
      <c r="N176" s="79" t="s">
        <v>1743</v>
      </c>
      <c r="O176" s="79" t="s">
        <v>1715</v>
      </c>
      <c r="P176" s="79" t="s">
        <v>1786</v>
      </c>
      <c r="Q176" s="85" t="s">
        <v>1727</v>
      </c>
      <c r="R176" s="79" t="s">
        <v>1728</v>
      </c>
      <c r="S176" s="79" t="s">
        <v>1785</v>
      </c>
      <c r="T176" s="79" t="s">
        <v>69</v>
      </c>
      <c r="U176" s="79" t="s">
        <v>70</v>
      </c>
      <c r="V176" s="79" t="s">
        <v>1684</v>
      </c>
      <c r="W176" s="79" t="s">
        <v>566</v>
      </c>
      <c r="X176" s="79" t="s">
        <v>1685</v>
      </c>
      <c r="Y176" s="82">
        <v>4.0</v>
      </c>
      <c r="Z176" s="79" t="s">
        <v>567</v>
      </c>
      <c r="AA176" s="79" t="s">
        <v>1671</v>
      </c>
      <c r="AB176" s="83"/>
      <c r="AC176" s="83"/>
      <c r="AD176" s="83"/>
    </row>
    <row r="177">
      <c r="A177" s="79" t="s">
        <v>1787</v>
      </c>
      <c r="B177" s="79" t="s">
        <v>1788</v>
      </c>
      <c r="C177" s="79" t="s">
        <v>1657</v>
      </c>
      <c r="D177" s="79" t="s">
        <v>1658</v>
      </c>
      <c r="E177" s="79" t="s">
        <v>1674</v>
      </c>
      <c r="F177" s="79" t="s">
        <v>1745</v>
      </c>
      <c r="G177" s="79" t="s">
        <v>253</v>
      </c>
      <c r="H177" s="84" t="s">
        <v>1789</v>
      </c>
      <c r="I177" s="79" t="s">
        <v>1790</v>
      </c>
      <c r="J177" s="79" t="s">
        <v>1791</v>
      </c>
      <c r="K177" s="79" t="s">
        <v>1713</v>
      </c>
      <c r="L177" s="79" t="s">
        <v>1679</v>
      </c>
      <c r="M177" s="79" t="s">
        <v>604</v>
      </c>
      <c r="N177" s="79" t="s">
        <v>1743</v>
      </c>
      <c r="O177" s="79" t="s">
        <v>1715</v>
      </c>
      <c r="P177" s="79"/>
      <c r="Q177" s="85" t="s">
        <v>1727</v>
      </c>
      <c r="R177" s="79" t="s">
        <v>1728</v>
      </c>
      <c r="S177" s="79" t="s">
        <v>1791</v>
      </c>
      <c r="T177" s="79" t="s">
        <v>69</v>
      </c>
      <c r="U177" s="79" t="s">
        <v>70</v>
      </c>
      <c r="V177" s="79" t="s">
        <v>1684</v>
      </c>
      <c r="W177" s="79" t="s">
        <v>566</v>
      </c>
      <c r="X177" s="79" t="s">
        <v>1685</v>
      </c>
      <c r="Y177" s="82">
        <v>4.0</v>
      </c>
      <c r="Z177" s="79" t="s">
        <v>567</v>
      </c>
      <c r="AA177" s="79" t="s">
        <v>1671</v>
      </c>
      <c r="AB177" s="83"/>
      <c r="AC177" s="83"/>
      <c r="AD177" s="83"/>
    </row>
    <row r="178">
      <c r="A178" s="79" t="s">
        <v>1792</v>
      </c>
      <c r="B178" s="79" t="s">
        <v>1793</v>
      </c>
      <c r="C178" s="79" t="s">
        <v>1657</v>
      </c>
      <c r="D178" s="79" t="s">
        <v>1658</v>
      </c>
      <c r="E178" s="79" t="s">
        <v>1738</v>
      </c>
      <c r="F178" s="79" t="s">
        <v>1794</v>
      </c>
      <c r="G178" s="79" t="s">
        <v>33</v>
      </c>
      <c r="H178" s="84" t="s">
        <v>1795</v>
      </c>
      <c r="I178" s="79" t="s">
        <v>1796</v>
      </c>
      <c r="J178" s="79" t="s">
        <v>1797</v>
      </c>
      <c r="K178" s="79" t="s">
        <v>1713</v>
      </c>
      <c r="L178" s="79" t="s">
        <v>1679</v>
      </c>
      <c r="M178" s="79" t="s">
        <v>738</v>
      </c>
      <c r="N178" s="79" t="s">
        <v>1743</v>
      </c>
      <c r="O178" s="79" t="s">
        <v>1715</v>
      </c>
      <c r="P178" s="79"/>
      <c r="Q178" s="85" t="s">
        <v>1727</v>
      </c>
      <c r="R178" s="79" t="s">
        <v>1728</v>
      </c>
      <c r="S178" s="79" t="s">
        <v>1797</v>
      </c>
      <c r="T178" s="79" t="s">
        <v>69</v>
      </c>
      <c r="U178" s="79" t="s">
        <v>70</v>
      </c>
      <c r="V178" s="79" t="s">
        <v>1684</v>
      </c>
      <c r="W178" s="79" t="s">
        <v>566</v>
      </c>
      <c r="X178" s="79" t="s">
        <v>1685</v>
      </c>
      <c r="Y178" s="82">
        <v>4.0</v>
      </c>
      <c r="Z178" s="79" t="s">
        <v>567</v>
      </c>
      <c r="AA178" s="79" t="s">
        <v>1671</v>
      </c>
      <c r="AB178" s="83"/>
      <c r="AC178" s="83"/>
      <c r="AD178" s="83"/>
    </row>
    <row r="179">
      <c r="A179" s="79" t="s">
        <v>1798</v>
      </c>
      <c r="B179" s="79" t="s">
        <v>1799</v>
      </c>
      <c r="C179" s="79" t="s">
        <v>1657</v>
      </c>
      <c r="D179" s="79" t="s">
        <v>1658</v>
      </c>
      <c r="E179" s="79" t="s">
        <v>1800</v>
      </c>
      <c r="F179" s="79" t="s">
        <v>1801</v>
      </c>
      <c r="G179" s="79" t="s">
        <v>33</v>
      </c>
      <c r="H179" s="84" t="s">
        <v>1802</v>
      </c>
      <c r="I179" s="79" t="s">
        <v>1803</v>
      </c>
      <c r="J179" s="79" t="s">
        <v>1804</v>
      </c>
      <c r="K179" s="79" t="s">
        <v>1713</v>
      </c>
      <c r="L179" s="79" t="s">
        <v>1679</v>
      </c>
      <c r="M179" s="79" t="s">
        <v>1805</v>
      </c>
      <c r="N179" s="79" t="s">
        <v>1743</v>
      </c>
      <c r="O179" s="79" t="s">
        <v>1715</v>
      </c>
      <c r="P179" s="79"/>
      <c r="Q179" s="85" t="s">
        <v>1727</v>
      </c>
      <c r="R179" s="79" t="s">
        <v>1728</v>
      </c>
      <c r="S179" s="79" t="s">
        <v>1804</v>
      </c>
      <c r="T179" s="79" t="s">
        <v>69</v>
      </c>
      <c r="U179" s="79" t="s">
        <v>70</v>
      </c>
      <c r="V179" s="79" t="s">
        <v>1684</v>
      </c>
      <c r="W179" s="79" t="s">
        <v>566</v>
      </c>
      <c r="X179" s="79" t="s">
        <v>1685</v>
      </c>
      <c r="Y179" s="82">
        <v>4.0</v>
      </c>
      <c r="Z179" s="79" t="s">
        <v>567</v>
      </c>
      <c r="AA179" s="79" t="s">
        <v>1671</v>
      </c>
      <c r="AB179" s="83"/>
      <c r="AC179" s="83"/>
      <c r="AD179" s="83"/>
    </row>
    <row r="180">
      <c r="A180" s="79" t="s">
        <v>1806</v>
      </c>
      <c r="B180" s="79" t="s">
        <v>1807</v>
      </c>
      <c r="C180" s="79" t="s">
        <v>1657</v>
      </c>
      <c r="D180" s="79" t="s">
        <v>1658</v>
      </c>
      <c r="E180" s="79" t="s">
        <v>1808</v>
      </c>
      <c r="F180" s="79" t="s">
        <v>1809</v>
      </c>
      <c r="G180" s="79" t="s">
        <v>33</v>
      </c>
      <c r="H180" s="84" t="s">
        <v>1810</v>
      </c>
      <c r="I180" s="79" t="s">
        <v>1811</v>
      </c>
      <c r="J180" s="79" t="s">
        <v>1812</v>
      </c>
      <c r="K180" s="79" t="s">
        <v>1713</v>
      </c>
      <c r="L180" s="79" t="s">
        <v>1679</v>
      </c>
      <c r="M180" s="79" t="s">
        <v>1703</v>
      </c>
      <c r="N180" s="79" t="s">
        <v>1743</v>
      </c>
      <c r="O180" s="79" t="s">
        <v>1715</v>
      </c>
      <c r="P180" s="79"/>
      <c r="Q180" s="85" t="s">
        <v>1727</v>
      </c>
      <c r="R180" s="79" t="s">
        <v>1728</v>
      </c>
      <c r="S180" s="79" t="s">
        <v>1812</v>
      </c>
      <c r="T180" s="79" t="s">
        <v>69</v>
      </c>
      <c r="U180" s="79" t="s">
        <v>70</v>
      </c>
      <c r="V180" s="79" t="s">
        <v>1684</v>
      </c>
      <c r="W180" s="79" t="s">
        <v>566</v>
      </c>
      <c r="X180" s="79" t="s">
        <v>1685</v>
      </c>
      <c r="Y180" s="82">
        <v>4.0</v>
      </c>
      <c r="Z180" s="79" t="s">
        <v>567</v>
      </c>
      <c r="AA180" s="79" t="s">
        <v>1671</v>
      </c>
      <c r="AB180" s="83"/>
      <c r="AC180" s="83"/>
      <c r="AD180" s="83"/>
    </row>
    <row r="181">
      <c r="A181" s="81" t="s">
        <v>1813</v>
      </c>
      <c r="B181" s="86" t="s">
        <v>1814</v>
      </c>
      <c r="C181" s="79" t="s">
        <v>1657</v>
      </c>
      <c r="D181" s="79" t="s">
        <v>1658</v>
      </c>
      <c r="E181" s="83"/>
      <c r="F181" s="83"/>
      <c r="G181" s="83"/>
      <c r="H181" s="87" t="s">
        <v>1815</v>
      </c>
      <c r="I181" s="83"/>
      <c r="J181" s="86" t="s">
        <v>1816</v>
      </c>
      <c r="K181" s="79" t="s">
        <v>1713</v>
      </c>
      <c r="L181" s="83"/>
      <c r="M181" s="83"/>
      <c r="N181" s="83"/>
      <c r="O181" s="83"/>
      <c r="P181" s="83"/>
      <c r="Q181" s="83"/>
      <c r="R181" s="83"/>
      <c r="S181" s="83"/>
      <c r="T181" s="83"/>
      <c r="U181" s="83"/>
      <c r="V181" s="80">
        <v>45969.0</v>
      </c>
      <c r="W181" s="83"/>
      <c r="X181" s="86" t="s">
        <v>1817</v>
      </c>
      <c r="Y181" s="83"/>
      <c r="Z181" s="83"/>
      <c r="AA181" s="83"/>
      <c r="AB181" s="83"/>
      <c r="AC181" s="83"/>
      <c r="AD181" s="83"/>
    </row>
    <row r="182">
      <c r="A182" s="81" t="s">
        <v>1818</v>
      </c>
      <c r="B182" s="86" t="s">
        <v>1819</v>
      </c>
      <c r="C182" s="79" t="s">
        <v>1657</v>
      </c>
      <c r="D182" s="79" t="s">
        <v>1658</v>
      </c>
      <c r="E182" s="83"/>
      <c r="F182" s="83"/>
      <c r="G182" s="83"/>
      <c r="H182" s="88"/>
      <c r="I182" s="83"/>
      <c r="J182" s="83"/>
      <c r="K182" s="83"/>
      <c r="L182" s="83"/>
      <c r="M182" s="83"/>
      <c r="N182" s="83"/>
      <c r="O182" s="83"/>
      <c r="P182" s="83"/>
      <c r="Q182" s="83"/>
      <c r="R182" s="83"/>
      <c r="S182" s="83"/>
      <c r="T182" s="83"/>
      <c r="U182" s="83"/>
      <c r="V182" s="80">
        <v>45969.0</v>
      </c>
      <c r="W182" s="83"/>
      <c r="X182" s="89" t="s">
        <v>1820</v>
      </c>
      <c r="Y182" s="83"/>
      <c r="Z182" s="83"/>
      <c r="AA182" s="83"/>
      <c r="AB182" s="83"/>
      <c r="AC182" s="83"/>
      <c r="AD182" s="83"/>
    </row>
    <row r="183">
      <c r="A183" s="83"/>
      <c r="B183" s="83"/>
      <c r="C183" s="83"/>
      <c r="D183" s="83"/>
      <c r="E183" s="83"/>
      <c r="F183" s="83"/>
      <c r="G183" s="83"/>
      <c r="H183" s="88"/>
      <c r="I183" s="83"/>
      <c r="J183" s="83"/>
      <c r="K183" s="83"/>
      <c r="L183" s="83"/>
      <c r="M183" s="83"/>
      <c r="N183" s="83"/>
      <c r="O183" s="83"/>
      <c r="P183" s="83"/>
      <c r="Q183" s="83"/>
      <c r="R183" s="83"/>
      <c r="S183" s="83"/>
      <c r="T183" s="83"/>
      <c r="U183" s="83"/>
      <c r="V183" s="83"/>
      <c r="W183" s="83"/>
      <c r="X183" s="83"/>
      <c r="Y183" s="83"/>
      <c r="Z183" s="83"/>
      <c r="AA183" s="83"/>
      <c r="AB183" s="83"/>
      <c r="AC183" s="83"/>
      <c r="AD183" s="83"/>
    </row>
    <row r="184">
      <c r="A184" s="83"/>
      <c r="B184" s="83"/>
      <c r="C184" s="83"/>
      <c r="D184" s="83"/>
      <c r="E184" s="83"/>
      <c r="F184" s="83"/>
      <c r="G184" s="83"/>
      <c r="H184" s="88"/>
      <c r="I184" s="83"/>
      <c r="J184" s="83"/>
      <c r="K184" s="83"/>
      <c r="L184" s="83"/>
      <c r="M184" s="83"/>
      <c r="N184" s="83"/>
      <c r="O184" s="83"/>
      <c r="P184" s="83"/>
      <c r="Q184" s="83"/>
      <c r="R184" s="83"/>
      <c r="S184" s="83"/>
      <c r="T184" s="83"/>
      <c r="U184" s="83"/>
      <c r="V184" s="83"/>
      <c r="W184" s="83"/>
      <c r="X184" s="83"/>
      <c r="Y184" s="83"/>
      <c r="Z184" s="83"/>
      <c r="AA184" s="83"/>
      <c r="AB184" s="83"/>
      <c r="AC184" s="83"/>
      <c r="AD184" s="83"/>
    </row>
    <row r="185">
      <c r="A185" s="83"/>
      <c r="B185" s="83"/>
      <c r="C185" s="83"/>
      <c r="D185" s="83"/>
      <c r="E185" s="83"/>
      <c r="F185" s="83"/>
      <c r="G185" s="83"/>
      <c r="H185" s="88"/>
      <c r="I185" s="83"/>
      <c r="J185" s="83"/>
      <c r="K185" s="83"/>
      <c r="L185" s="83"/>
      <c r="M185" s="83"/>
      <c r="N185" s="83"/>
      <c r="O185" s="83"/>
      <c r="P185" s="83"/>
      <c r="Q185" s="83"/>
      <c r="R185" s="83"/>
      <c r="S185" s="83"/>
      <c r="T185" s="83"/>
      <c r="U185" s="83"/>
      <c r="V185" s="83"/>
      <c r="W185" s="83"/>
      <c r="X185" s="83"/>
      <c r="Y185" s="83"/>
      <c r="Z185" s="83"/>
      <c r="AA185" s="83"/>
      <c r="AB185" s="83"/>
      <c r="AC185" s="83"/>
      <c r="AD185" s="83"/>
    </row>
    <row r="186">
      <c r="A186" s="83"/>
      <c r="B186" s="83"/>
      <c r="C186" s="83"/>
      <c r="D186" s="83"/>
      <c r="E186" s="83"/>
      <c r="F186" s="83"/>
      <c r="G186" s="83"/>
      <c r="H186" s="88"/>
      <c r="I186" s="83"/>
      <c r="J186" s="83"/>
      <c r="K186" s="83"/>
      <c r="L186" s="83"/>
      <c r="M186" s="83"/>
      <c r="N186" s="83"/>
      <c r="O186" s="83"/>
      <c r="P186" s="83"/>
      <c r="Q186" s="83"/>
      <c r="R186" s="83"/>
      <c r="S186" s="83"/>
      <c r="T186" s="83"/>
      <c r="U186" s="83"/>
      <c r="V186" s="83"/>
      <c r="W186" s="83"/>
      <c r="X186" s="83"/>
      <c r="Y186" s="83"/>
      <c r="Z186" s="83"/>
      <c r="AA186" s="83"/>
      <c r="AB186" s="83"/>
      <c r="AC186" s="83"/>
      <c r="AD186" s="83"/>
    </row>
    <row r="187">
      <c r="A187" s="83" t="s">
        <v>1821</v>
      </c>
      <c r="B187" s="83" t="s">
        <v>1822</v>
      </c>
      <c r="C187" s="83" t="s">
        <v>1823</v>
      </c>
      <c r="D187" s="83" t="s">
        <v>1824</v>
      </c>
      <c r="E187" s="83" t="s">
        <v>1825</v>
      </c>
      <c r="F187" s="83" t="s">
        <v>1826</v>
      </c>
      <c r="G187" s="83" t="s">
        <v>58</v>
      </c>
      <c r="H187" s="88" t="s">
        <v>1827</v>
      </c>
      <c r="I187" s="83" t="s">
        <v>1828</v>
      </c>
      <c r="J187" s="83" t="s">
        <v>1829</v>
      </c>
      <c r="K187" s="83" t="s">
        <v>37</v>
      </c>
      <c r="L187" s="83" t="s">
        <v>1830</v>
      </c>
      <c r="M187" s="83" t="s">
        <v>1831</v>
      </c>
      <c r="N187" s="83" t="s">
        <v>1832</v>
      </c>
      <c r="O187" s="83" t="s">
        <v>1833</v>
      </c>
      <c r="P187" s="83" t="s">
        <v>43</v>
      </c>
      <c r="Q187" s="83" t="s">
        <v>43</v>
      </c>
      <c r="R187" s="83" t="s">
        <v>145</v>
      </c>
      <c r="S187" s="83" t="s">
        <v>43</v>
      </c>
      <c r="T187" s="83" t="s">
        <v>45</v>
      </c>
      <c r="U187" s="83" t="s">
        <v>43</v>
      </c>
      <c r="V187" s="83" t="s">
        <v>43</v>
      </c>
      <c r="W187" s="83" t="s">
        <v>43</v>
      </c>
      <c r="X187" s="83" t="s">
        <v>1834</v>
      </c>
      <c r="Y187" s="83" t="s">
        <v>43</v>
      </c>
      <c r="Z187" s="83" t="s">
        <v>43</v>
      </c>
      <c r="AA187" s="83" t="s">
        <v>86</v>
      </c>
      <c r="AB187" s="83"/>
      <c r="AC187" s="83"/>
      <c r="AD187" s="83"/>
    </row>
    <row r="188">
      <c r="A188" s="90" t="s">
        <v>1835</v>
      </c>
      <c r="B188" s="90" t="s">
        <v>1836</v>
      </c>
      <c r="C188" s="90" t="s">
        <v>1837</v>
      </c>
      <c r="D188" s="90" t="s">
        <v>1838</v>
      </c>
      <c r="E188" s="90" t="s">
        <v>1839</v>
      </c>
      <c r="F188" s="90" t="s">
        <v>1840</v>
      </c>
      <c r="G188" s="90" t="s">
        <v>253</v>
      </c>
      <c r="H188" s="91" t="s">
        <v>1841</v>
      </c>
      <c r="I188" s="90" t="s">
        <v>1842</v>
      </c>
      <c r="J188" s="90" t="s">
        <v>1843</v>
      </c>
      <c r="K188" s="90" t="s">
        <v>50</v>
      </c>
      <c r="L188" s="90" t="s">
        <v>1844</v>
      </c>
      <c r="M188" s="90" t="s">
        <v>43</v>
      </c>
      <c r="N188" s="90" t="s">
        <v>1845</v>
      </c>
      <c r="O188" s="90" t="s">
        <v>216</v>
      </c>
      <c r="P188" s="90" t="s">
        <v>43</v>
      </c>
      <c r="Q188" s="90" t="s">
        <v>43</v>
      </c>
      <c r="R188" s="90" t="s">
        <v>43</v>
      </c>
      <c r="S188" s="90" t="s">
        <v>43</v>
      </c>
      <c r="T188" s="90" t="s">
        <v>45</v>
      </c>
      <c r="U188" s="90" t="s">
        <v>43</v>
      </c>
      <c r="V188" s="90" t="s">
        <v>43</v>
      </c>
      <c r="W188" s="90" t="s">
        <v>43</v>
      </c>
      <c r="X188" s="90" t="s">
        <v>528</v>
      </c>
      <c r="Y188" s="90" t="s">
        <v>43</v>
      </c>
      <c r="Z188" s="90" t="s">
        <v>43</v>
      </c>
      <c r="AA188" s="90" t="s">
        <v>86</v>
      </c>
      <c r="AB188" s="90"/>
      <c r="AC188" s="90"/>
      <c r="AD188" s="90"/>
    </row>
    <row r="189">
      <c r="A189" s="92" t="s">
        <v>1846</v>
      </c>
      <c r="B189" s="92" t="s">
        <v>1847</v>
      </c>
      <c r="C189" s="92" t="s">
        <v>1848</v>
      </c>
      <c r="D189" s="92" t="s">
        <v>1849</v>
      </c>
      <c r="E189" s="92" t="s">
        <v>1850</v>
      </c>
      <c r="F189" s="92" t="s">
        <v>1851</v>
      </c>
      <c r="G189" s="92" t="s">
        <v>58</v>
      </c>
      <c r="H189" s="93" t="s">
        <v>1852</v>
      </c>
      <c r="I189" s="92" t="s">
        <v>1853</v>
      </c>
      <c r="J189" s="92" t="s">
        <v>1854</v>
      </c>
      <c r="K189" s="92" t="s">
        <v>37</v>
      </c>
      <c r="L189" s="92" t="s">
        <v>1855</v>
      </c>
      <c r="M189" s="92" t="s">
        <v>1856</v>
      </c>
      <c r="N189" s="92" t="s">
        <v>1857</v>
      </c>
      <c r="O189" s="92" t="s">
        <v>397</v>
      </c>
      <c r="P189" s="92" t="s">
        <v>43</v>
      </c>
      <c r="Q189" s="92" t="s">
        <v>1858</v>
      </c>
      <c r="R189" s="92" t="s">
        <v>1610</v>
      </c>
      <c r="S189" s="92" t="s">
        <v>1859</v>
      </c>
      <c r="T189" s="92" t="s">
        <v>308</v>
      </c>
      <c r="U189" s="92" t="s">
        <v>309</v>
      </c>
      <c r="V189" s="94">
        <v>45930.0</v>
      </c>
      <c r="W189" s="92" t="s">
        <v>50</v>
      </c>
      <c r="X189" s="92" t="s">
        <v>1860</v>
      </c>
      <c r="Y189" s="92" t="s">
        <v>43</v>
      </c>
      <c r="Z189" s="92" t="s">
        <v>1479</v>
      </c>
      <c r="AA189" s="92" t="s">
        <v>1861</v>
      </c>
      <c r="AB189" s="92"/>
      <c r="AC189" s="92"/>
      <c r="AD189" s="92"/>
    </row>
    <row r="190">
      <c r="A190" s="95" t="s">
        <v>1862</v>
      </c>
      <c r="B190" s="95" t="s">
        <v>1863</v>
      </c>
      <c r="C190" s="95" t="s">
        <v>1864</v>
      </c>
      <c r="D190" s="95" t="s">
        <v>1865</v>
      </c>
      <c r="E190" s="95" t="s">
        <v>1866</v>
      </c>
      <c r="F190" s="95" t="s">
        <v>1867</v>
      </c>
      <c r="G190" s="95" t="s">
        <v>58</v>
      </c>
      <c r="H190" s="96" t="s">
        <v>1868</v>
      </c>
      <c r="I190" s="95" t="s">
        <v>1869</v>
      </c>
      <c r="J190" s="95" t="s">
        <v>1870</v>
      </c>
      <c r="K190" s="95" t="s">
        <v>37</v>
      </c>
      <c r="L190" s="95" t="s">
        <v>93</v>
      </c>
      <c r="M190" s="95" t="s">
        <v>1871</v>
      </c>
      <c r="N190" s="95" t="s">
        <v>1872</v>
      </c>
      <c r="O190" s="95" t="s">
        <v>1873</v>
      </c>
      <c r="P190" s="95" t="s">
        <v>43</v>
      </c>
      <c r="Q190" s="95" t="s">
        <v>43</v>
      </c>
      <c r="R190" s="95" t="s">
        <v>160</v>
      </c>
      <c r="S190" s="95" t="s">
        <v>43</v>
      </c>
      <c r="T190" s="95" t="s">
        <v>69</v>
      </c>
      <c r="U190" s="95" t="s">
        <v>70</v>
      </c>
      <c r="V190" s="95" t="s">
        <v>43</v>
      </c>
      <c r="W190" s="95" t="s">
        <v>37</v>
      </c>
      <c r="X190" s="95" t="s">
        <v>43</v>
      </c>
      <c r="Y190" s="95" t="s">
        <v>43</v>
      </c>
      <c r="Z190" s="95" t="s">
        <v>43</v>
      </c>
      <c r="AA190" s="95" t="s">
        <v>1480</v>
      </c>
      <c r="AB190" s="95"/>
      <c r="AC190" s="95"/>
      <c r="AD190" s="95"/>
    </row>
    <row r="191">
      <c r="A191" s="97" t="s">
        <v>1874</v>
      </c>
      <c r="B191" s="97" t="s">
        <v>1875</v>
      </c>
      <c r="C191" s="97" t="s">
        <v>1876</v>
      </c>
      <c r="D191" s="97" t="s">
        <v>1877</v>
      </c>
      <c r="E191" s="97" t="s">
        <v>1878</v>
      </c>
      <c r="F191" s="97" t="s">
        <v>1879</v>
      </c>
      <c r="G191" s="97" t="s">
        <v>118</v>
      </c>
      <c r="H191" s="98" t="s">
        <v>1880</v>
      </c>
      <c r="I191" s="97" t="s">
        <v>1881</v>
      </c>
      <c r="J191" s="97" t="s">
        <v>1882</v>
      </c>
      <c r="K191" s="97" t="s">
        <v>37</v>
      </c>
      <c r="L191" s="97" t="s">
        <v>1883</v>
      </c>
      <c r="M191" s="97" t="s">
        <v>1884</v>
      </c>
      <c r="N191" s="97" t="s">
        <v>1885</v>
      </c>
      <c r="O191" s="97" t="s">
        <v>1886</v>
      </c>
      <c r="P191" s="97" t="s">
        <v>1887</v>
      </c>
      <c r="Q191" s="97" t="s">
        <v>43</v>
      </c>
      <c r="R191" s="97" t="s">
        <v>1888</v>
      </c>
      <c r="S191" s="97" t="s">
        <v>43</v>
      </c>
      <c r="T191" s="97" t="s">
        <v>45</v>
      </c>
      <c r="U191" s="97" t="s">
        <v>43</v>
      </c>
      <c r="V191" s="97" t="s">
        <v>43</v>
      </c>
      <c r="W191" s="97" t="s">
        <v>43</v>
      </c>
      <c r="X191" s="97" t="s">
        <v>1889</v>
      </c>
      <c r="Y191" s="97" t="s">
        <v>43</v>
      </c>
      <c r="Z191" s="97" t="s">
        <v>43</v>
      </c>
      <c r="AA191" s="97" t="s">
        <v>131</v>
      </c>
      <c r="AB191" s="97"/>
      <c r="AC191" s="97"/>
      <c r="AD191" s="97"/>
    </row>
    <row r="192">
      <c r="A192" s="99" t="s">
        <v>1890</v>
      </c>
      <c r="B192" s="99" t="s">
        <v>1891</v>
      </c>
      <c r="C192" s="99" t="s">
        <v>1892</v>
      </c>
      <c r="D192" s="99" t="s">
        <v>1893</v>
      </c>
      <c r="E192" s="99" t="s">
        <v>1894</v>
      </c>
      <c r="F192" s="99" t="s">
        <v>1895</v>
      </c>
      <c r="G192" s="99" t="s">
        <v>58</v>
      </c>
      <c r="H192" s="100" t="s">
        <v>1896</v>
      </c>
      <c r="I192" s="99" t="s">
        <v>1897</v>
      </c>
      <c r="J192" s="99" t="s">
        <v>1898</v>
      </c>
      <c r="K192" s="99" t="s">
        <v>37</v>
      </c>
      <c r="L192" s="99" t="s">
        <v>1560</v>
      </c>
      <c r="M192" s="99" t="s">
        <v>1899</v>
      </c>
      <c r="N192" s="99" t="s">
        <v>1900</v>
      </c>
      <c r="O192" s="99" t="s">
        <v>1901</v>
      </c>
      <c r="P192" s="99" t="s">
        <v>1902</v>
      </c>
      <c r="Q192" s="99" t="s">
        <v>1903</v>
      </c>
      <c r="R192" s="99" t="s">
        <v>1904</v>
      </c>
      <c r="S192" s="99" t="s">
        <v>1898</v>
      </c>
      <c r="T192" s="99" t="s">
        <v>308</v>
      </c>
      <c r="U192" s="99" t="s">
        <v>1477</v>
      </c>
      <c r="V192" s="101">
        <v>45796.0</v>
      </c>
      <c r="W192" s="99" t="s">
        <v>43</v>
      </c>
      <c r="X192" s="99" t="s">
        <v>1905</v>
      </c>
      <c r="Y192" s="99" t="s">
        <v>43</v>
      </c>
      <c r="Z192" s="99" t="s">
        <v>43</v>
      </c>
      <c r="AA192" s="99" t="s">
        <v>1906</v>
      </c>
      <c r="AB192" s="99"/>
      <c r="AC192" s="99"/>
      <c r="AD192" s="99"/>
    </row>
    <row r="193">
      <c r="A193" s="102"/>
      <c r="B193" s="102"/>
      <c r="C193" s="102"/>
      <c r="D193" s="102"/>
      <c r="E193" s="102"/>
      <c r="F193" s="102"/>
      <c r="G193" s="102"/>
      <c r="H193" s="102"/>
      <c r="I193" s="102"/>
      <c r="J193" s="102"/>
      <c r="K193" s="102"/>
      <c r="L193" s="102"/>
      <c r="M193" s="103"/>
      <c r="N193" s="102"/>
      <c r="O193" s="102"/>
      <c r="P193" s="102"/>
      <c r="Q193" s="102"/>
      <c r="R193" s="102"/>
      <c r="S193" s="102"/>
      <c r="T193" s="102"/>
      <c r="U193" s="102"/>
      <c r="V193" s="102"/>
      <c r="W193" s="102"/>
      <c r="X193" s="102"/>
      <c r="Y193" s="102"/>
      <c r="Z193" s="102"/>
      <c r="AA193" s="102"/>
      <c r="AB193" s="102"/>
      <c r="AC193" s="102"/>
      <c r="AD193" s="102"/>
    </row>
    <row r="194">
      <c r="A194" s="102"/>
      <c r="B194" s="102"/>
      <c r="C194" s="102"/>
      <c r="D194" s="102"/>
      <c r="E194" s="102"/>
      <c r="F194" s="102"/>
      <c r="G194" s="102"/>
      <c r="H194" s="102"/>
      <c r="I194" s="102"/>
      <c r="J194" s="102"/>
      <c r="K194" s="102"/>
      <c r="L194" s="102"/>
      <c r="M194" s="103"/>
      <c r="N194" s="102"/>
      <c r="O194" s="102"/>
      <c r="P194" s="102"/>
      <c r="Q194" s="102"/>
      <c r="R194" s="102"/>
      <c r="S194" s="102"/>
      <c r="T194" s="102"/>
      <c r="U194" s="102"/>
      <c r="V194" s="102"/>
      <c r="W194" s="102"/>
      <c r="X194" s="102"/>
      <c r="Y194" s="102"/>
      <c r="Z194" s="102"/>
      <c r="AA194" s="102"/>
      <c r="AB194" s="102"/>
      <c r="AC194" s="102"/>
      <c r="AD194" s="102"/>
    </row>
    <row r="195">
      <c r="A195" s="102"/>
      <c r="B195" s="102"/>
      <c r="C195" s="102"/>
      <c r="D195" s="102"/>
      <c r="E195" s="102"/>
      <c r="F195" s="102"/>
      <c r="G195" s="102"/>
      <c r="H195" s="102"/>
      <c r="I195" s="102"/>
      <c r="J195" s="102"/>
      <c r="K195" s="102"/>
      <c r="L195" s="102"/>
      <c r="M195" s="103"/>
      <c r="N195" s="102"/>
      <c r="O195" s="102"/>
      <c r="P195" s="102"/>
      <c r="Q195" s="102"/>
      <c r="R195" s="102"/>
      <c r="S195" s="102"/>
      <c r="T195" s="102"/>
      <c r="U195" s="102"/>
      <c r="V195" s="102"/>
      <c r="W195" s="102"/>
      <c r="X195" s="102"/>
      <c r="Y195" s="102"/>
      <c r="Z195" s="102"/>
      <c r="AA195" s="102"/>
      <c r="AB195" s="102"/>
      <c r="AC195" s="102"/>
      <c r="AD195" s="102"/>
    </row>
    <row r="196">
      <c r="A196" s="102"/>
      <c r="B196" s="102"/>
      <c r="C196" s="102"/>
      <c r="D196" s="102"/>
      <c r="E196" s="102"/>
      <c r="F196" s="102"/>
      <c r="G196" s="102"/>
      <c r="H196" s="102"/>
      <c r="I196" s="102"/>
      <c r="J196" s="102"/>
      <c r="K196" s="102"/>
      <c r="L196" s="102"/>
      <c r="M196" s="103"/>
      <c r="N196" s="102"/>
      <c r="O196" s="102"/>
      <c r="P196" s="102"/>
      <c r="Q196" s="102"/>
      <c r="R196" s="102"/>
      <c r="S196" s="102"/>
      <c r="T196" s="102"/>
      <c r="U196" s="102"/>
      <c r="V196" s="102"/>
      <c r="W196" s="102"/>
      <c r="X196" s="102"/>
      <c r="Y196" s="102"/>
      <c r="Z196" s="102"/>
      <c r="AA196" s="102"/>
      <c r="AB196" s="102"/>
      <c r="AC196" s="102"/>
      <c r="AD196" s="102"/>
    </row>
    <row r="197">
      <c r="A197" s="102" t="s">
        <v>1907</v>
      </c>
      <c r="B197" s="102" t="s">
        <v>47</v>
      </c>
      <c r="C197" s="102" t="s">
        <v>1908</v>
      </c>
      <c r="D197" s="102" t="s">
        <v>1909</v>
      </c>
      <c r="E197" s="102" t="s">
        <v>1908</v>
      </c>
      <c r="F197" s="102" t="s">
        <v>43</v>
      </c>
      <c r="G197" s="102" t="s">
        <v>43</v>
      </c>
      <c r="H197" s="102" t="s">
        <v>43</v>
      </c>
      <c r="I197" s="102" t="s">
        <v>43</v>
      </c>
      <c r="J197" s="102" t="s">
        <v>43</v>
      </c>
      <c r="K197" s="102" t="s">
        <v>50</v>
      </c>
      <c r="L197" s="102" t="s">
        <v>43</v>
      </c>
      <c r="M197" s="103">
        <v>0.0</v>
      </c>
      <c r="N197" s="102" t="s">
        <v>1910</v>
      </c>
      <c r="O197" s="102" t="s">
        <v>43</v>
      </c>
      <c r="P197" s="102" t="s">
        <v>43</v>
      </c>
      <c r="Q197" s="102" t="s">
        <v>43</v>
      </c>
      <c r="R197" s="102" t="s">
        <v>43</v>
      </c>
      <c r="S197" s="102" t="s">
        <v>43</v>
      </c>
      <c r="T197" s="102" t="s">
        <v>43</v>
      </c>
      <c r="U197" s="102" t="s">
        <v>43</v>
      </c>
      <c r="V197" s="102" t="s">
        <v>43</v>
      </c>
      <c r="W197" s="102" t="s">
        <v>43</v>
      </c>
      <c r="X197" s="102" t="s">
        <v>556</v>
      </c>
      <c r="Y197" s="102" t="s">
        <v>43</v>
      </c>
      <c r="Z197" s="102" t="s">
        <v>43</v>
      </c>
      <c r="AA197" s="102" t="s">
        <v>43</v>
      </c>
      <c r="AB197" s="102"/>
      <c r="AC197" s="102"/>
      <c r="AD197" s="102"/>
    </row>
  </sheetData>
  <hyperlinks>
    <hyperlink r:id="rId1" ref="H2"/>
    <hyperlink r:id="rId2" ref="H4"/>
    <hyperlink r:id="rId3" ref="H5"/>
    <hyperlink r:id="rId4" ref="H6"/>
    <hyperlink r:id="rId5" ref="H7"/>
    <hyperlink r:id="rId6" ref="H8"/>
    <hyperlink r:id="rId7" ref="H10"/>
    <hyperlink r:id="rId8" ref="H11"/>
    <hyperlink r:id="rId9" ref="H12"/>
    <hyperlink r:id="rId10" ref="H13"/>
    <hyperlink r:id="rId11" ref="H14"/>
    <hyperlink r:id="rId12" ref="H15"/>
    <hyperlink r:id="rId13" ref="H16"/>
    <hyperlink r:id="rId14" ref="H17"/>
    <hyperlink r:id="rId15" ref="H18"/>
    <hyperlink r:id="rId16" ref="F19"/>
    <hyperlink r:id="rId17" ref="G19"/>
    <hyperlink r:id="rId18" ref="H19"/>
    <hyperlink r:id="rId19" ref="F20"/>
    <hyperlink r:id="rId20" ref="G20"/>
    <hyperlink r:id="rId21" ref="H20"/>
    <hyperlink r:id="rId22" ref="F21"/>
    <hyperlink r:id="rId23" ref="G21"/>
    <hyperlink r:id="rId24" ref="H21"/>
    <hyperlink r:id="rId25" ref="F22"/>
    <hyperlink r:id="rId26" ref="G22"/>
    <hyperlink r:id="rId27" ref="H22"/>
    <hyperlink r:id="rId28" ref="F23"/>
    <hyperlink r:id="rId29" ref="G23"/>
    <hyperlink r:id="rId30" ref="H23"/>
    <hyperlink r:id="rId31" ref="F24"/>
    <hyperlink r:id="rId32" ref="G24"/>
    <hyperlink r:id="rId33" ref="H24"/>
    <hyperlink r:id="rId34" ref="F25"/>
    <hyperlink r:id="rId35" ref="G25"/>
    <hyperlink r:id="rId36" ref="H25"/>
    <hyperlink r:id="rId37" ref="F26"/>
    <hyperlink r:id="rId38" ref="G26"/>
    <hyperlink r:id="rId39" ref="H26"/>
    <hyperlink r:id="rId40" ref="F27"/>
    <hyperlink r:id="rId41" ref="G27"/>
    <hyperlink r:id="rId42" ref="H27"/>
    <hyperlink r:id="rId43" ref="F28"/>
    <hyperlink r:id="rId44" ref="G28"/>
    <hyperlink r:id="rId45" ref="H28"/>
    <hyperlink r:id="rId46" ref="F29"/>
    <hyperlink r:id="rId47" ref="G29"/>
    <hyperlink r:id="rId48" ref="H29"/>
    <hyperlink r:id="rId49" ref="F30"/>
    <hyperlink r:id="rId50" ref="G30"/>
    <hyperlink r:id="rId51" ref="H30"/>
    <hyperlink r:id="rId52" ref="F31"/>
    <hyperlink r:id="rId53" ref="G31"/>
    <hyperlink r:id="rId54" ref="H31"/>
    <hyperlink r:id="rId55" ref="F32"/>
    <hyperlink r:id="rId56" ref="G32"/>
    <hyperlink r:id="rId57" ref="H32"/>
    <hyperlink r:id="rId58" ref="F33"/>
    <hyperlink r:id="rId59" ref="G33"/>
    <hyperlink r:id="rId60" ref="H33"/>
    <hyperlink r:id="rId61" ref="F34"/>
    <hyperlink r:id="rId62" ref="G34"/>
    <hyperlink r:id="rId63" ref="H34"/>
    <hyperlink r:id="rId64" ref="F35"/>
    <hyperlink r:id="rId65" ref="G35"/>
    <hyperlink r:id="rId66" ref="H35"/>
    <hyperlink r:id="rId67" ref="F36"/>
    <hyperlink r:id="rId68" ref="G36"/>
    <hyperlink r:id="rId69" ref="H36"/>
    <hyperlink r:id="rId70" ref="F37"/>
    <hyperlink r:id="rId71" ref="G37"/>
    <hyperlink r:id="rId72" ref="H37"/>
    <hyperlink r:id="rId73" ref="H38"/>
    <hyperlink r:id="rId74" ref="I38"/>
    <hyperlink r:id="rId75" ref="I41"/>
    <hyperlink r:id="rId76" ref="H43"/>
    <hyperlink r:id="rId77" ref="H44"/>
    <hyperlink r:id="rId78" ref="H45"/>
    <hyperlink r:id="rId79" ref="H46"/>
    <hyperlink r:id="rId80" ref="H47"/>
    <hyperlink r:id="rId81" ref="H48"/>
    <hyperlink r:id="rId82" ref="H49"/>
    <hyperlink r:id="rId83" ref="H50"/>
    <hyperlink r:id="rId84" ref="H51"/>
    <hyperlink r:id="rId85" ref="H52"/>
    <hyperlink r:id="rId86" ref="H53"/>
    <hyperlink r:id="rId87" ref="H54"/>
    <hyperlink r:id="rId88" ref="H55"/>
    <hyperlink r:id="rId89" ref="H56"/>
    <hyperlink r:id="rId90" ref="H57"/>
    <hyperlink r:id="rId91" ref="H58"/>
    <hyperlink r:id="rId92" ref="H59"/>
    <hyperlink r:id="rId93" ref="H60"/>
    <hyperlink r:id="rId94" ref="H61"/>
    <hyperlink r:id="rId95" ref="H62"/>
    <hyperlink r:id="rId96" ref="H63"/>
    <hyperlink r:id="rId97" ref="H64"/>
    <hyperlink r:id="rId98" ref="H66"/>
    <hyperlink r:id="rId99" ref="H67"/>
    <hyperlink r:id="rId100" ref="H68"/>
    <hyperlink r:id="rId101" ref="H69"/>
    <hyperlink r:id="rId102" ref="H70"/>
    <hyperlink r:id="rId103" ref="H71"/>
    <hyperlink r:id="rId104" ref="H72"/>
    <hyperlink r:id="rId105" ref="H73"/>
    <hyperlink r:id="rId106" ref="H74"/>
    <hyperlink r:id="rId107" ref="H75"/>
    <hyperlink r:id="rId108" ref="I75"/>
    <hyperlink r:id="rId109" ref="H76"/>
    <hyperlink r:id="rId110" ref="H77"/>
    <hyperlink r:id="rId111" ref="H78"/>
    <hyperlink r:id="rId112" ref="G79"/>
    <hyperlink r:id="rId113" ref="H79"/>
    <hyperlink r:id="rId114" ref="G80"/>
    <hyperlink r:id="rId115" ref="H80"/>
    <hyperlink r:id="rId116" ref="G81"/>
    <hyperlink r:id="rId117" ref="H81"/>
    <hyperlink r:id="rId118" ref="G82"/>
    <hyperlink r:id="rId119" ref="H82"/>
    <hyperlink r:id="rId120" ref="G83"/>
    <hyperlink r:id="rId121" ref="H83"/>
    <hyperlink r:id="rId122" ref="G84"/>
    <hyperlink r:id="rId123" ref="H84"/>
    <hyperlink r:id="rId124" ref="G85"/>
    <hyperlink r:id="rId125" ref="H85"/>
    <hyperlink r:id="rId126" ref="G86"/>
    <hyperlink r:id="rId127" ref="H86"/>
    <hyperlink r:id="rId128" ref="G87"/>
    <hyperlink r:id="rId129" ref="H87"/>
    <hyperlink r:id="rId130" ref="G88"/>
    <hyperlink r:id="rId131" ref="H88"/>
    <hyperlink r:id="rId132" ref="G89"/>
    <hyperlink r:id="rId133" ref="H89"/>
    <hyperlink r:id="rId134" ref="H90"/>
    <hyperlink r:id="rId135" ref="H91"/>
    <hyperlink r:id="rId136" ref="H92"/>
    <hyperlink r:id="rId137" ref="H93"/>
    <hyperlink r:id="rId138" ref="H94"/>
    <hyperlink r:id="rId139" ref="H95"/>
    <hyperlink r:id="rId140" ref="H96"/>
    <hyperlink r:id="rId141" ref="H97"/>
    <hyperlink r:id="rId142" ref="H98"/>
    <hyperlink r:id="rId143" ref="H99"/>
    <hyperlink r:id="rId144" ref="H100"/>
    <hyperlink r:id="rId145" ref="H101"/>
    <hyperlink r:id="rId146" ref="H102"/>
    <hyperlink r:id="rId147" ref="H103"/>
    <hyperlink r:id="rId148" ref="H104"/>
    <hyperlink r:id="rId149" ref="H105"/>
    <hyperlink r:id="rId150" ref="H106"/>
    <hyperlink r:id="rId151" ref="H107"/>
    <hyperlink r:id="rId152" ref="H108"/>
    <hyperlink r:id="rId153" ref="H109"/>
    <hyperlink r:id="rId154" ref="H110"/>
    <hyperlink r:id="rId155" ref="H111"/>
    <hyperlink r:id="rId156" ref="H112"/>
    <hyperlink r:id="rId157" ref="H113"/>
    <hyperlink r:id="rId158" ref="H114"/>
    <hyperlink r:id="rId159" ref="H115"/>
    <hyperlink r:id="rId160" ref="H116"/>
    <hyperlink r:id="rId161" ref="H117"/>
    <hyperlink r:id="rId162" ref="H118"/>
    <hyperlink r:id="rId163" ref="H119"/>
    <hyperlink r:id="rId164" ref="H120"/>
    <hyperlink r:id="rId165" ref="H121"/>
    <hyperlink r:id="rId166" ref="H122"/>
    <hyperlink r:id="rId167" ref="H123"/>
    <hyperlink r:id="rId168" ref="H124"/>
    <hyperlink r:id="rId169" ref="H125"/>
    <hyperlink r:id="rId170" ref="H126"/>
    <hyperlink r:id="rId171" ref="H127"/>
    <hyperlink r:id="rId172" ref="H128"/>
    <hyperlink r:id="rId173" ref="H129"/>
    <hyperlink r:id="rId174" ref="H130"/>
    <hyperlink r:id="rId175" ref="H131"/>
    <hyperlink r:id="rId176" ref="H132"/>
    <hyperlink r:id="rId177" ref="H133"/>
    <hyperlink r:id="rId178" ref="H134"/>
    <hyperlink r:id="rId179" ref="H135"/>
    <hyperlink r:id="rId180" ref="H136"/>
    <hyperlink r:id="rId181" ref="H137"/>
    <hyperlink r:id="rId182" ref="H138"/>
    <hyperlink r:id="rId183" ref="H139"/>
    <hyperlink r:id="rId184" ref="H140"/>
    <hyperlink r:id="rId185" ref="H141"/>
    <hyperlink r:id="rId186" ref="H142"/>
    <hyperlink r:id="rId187" ref="H143"/>
    <hyperlink r:id="rId188" ref="H144"/>
    <hyperlink r:id="rId189" ref="H145"/>
    <hyperlink r:id="rId190" ref="H146"/>
    <hyperlink r:id="rId191" ref="H147"/>
    <hyperlink r:id="rId192" ref="H148"/>
    <hyperlink r:id="rId193" ref="H149"/>
    <hyperlink r:id="rId194" ref="I149"/>
    <hyperlink r:id="rId195" ref="H150"/>
    <hyperlink r:id="rId196" ref="I150"/>
    <hyperlink r:id="rId197" ref="H151"/>
    <hyperlink r:id="rId198" ref="H152"/>
    <hyperlink r:id="rId199" ref="H153"/>
    <hyperlink r:id="rId200" ref="H154"/>
    <hyperlink r:id="rId201" ref="H155"/>
    <hyperlink r:id="rId202" ref="H156"/>
    <hyperlink r:id="rId203" ref="H157"/>
    <hyperlink r:id="rId204" ref="H158"/>
    <hyperlink r:id="rId205" ref="H159"/>
    <hyperlink r:id="rId206" ref="H160"/>
    <hyperlink r:id="rId207" ref="H161"/>
    <hyperlink r:id="rId208" ref="H163"/>
    <hyperlink r:id="rId209" ref="H176"/>
    <hyperlink r:id="rId210" ref="H177"/>
    <hyperlink r:id="rId211" ref="H178"/>
    <hyperlink r:id="rId212" ref="H179"/>
    <hyperlink r:id="rId213" ref="H180"/>
    <hyperlink r:id="rId214" ref="H181"/>
    <hyperlink r:id="rId215" ref="X182"/>
    <hyperlink r:id="rId216" ref="H187"/>
    <hyperlink r:id="rId217" ref="H188"/>
    <hyperlink r:id="rId218" ref="H189"/>
    <hyperlink r:id="rId219" ref="H190"/>
    <hyperlink r:id="rId220" ref="H191"/>
    <hyperlink r:id="rId221" ref="H192"/>
  </hyperlinks>
  <printOptions gridLines="1" horizontalCentered="1"/>
  <pageMargins bottom="0.75" footer="0.0" header="0.0" left="0.7" right="0.7" top="0.75"/>
  <pageSetup fitToHeight="0" cellComments="atEnd" orientation="landscape" pageOrder="overThenDown"/>
  <drawing r:id="rId2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
        <v>1911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
        <v>1912</v>
      </c>
      <c r="B1" s="104" t="s">
        <v>1913</v>
      </c>
      <c r="E1" s="105" t="s">
        <v>4</v>
      </c>
      <c r="F1" s="104" t="s">
        <v>1914</v>
      </c>
      <c r="G1" s="104" t="s">
        <v>5</v>
      </c>
      <c r="H1" s="104" t="s">
        <v>1915</v>
      </c>
    </row>
    <row r="2">
      <c r="A2" s="104" t="s">
        <v>1916</v>
      </c>
      <c r="B2" s="106">
        <v>45961.0</v>
      </c>
      <c r="E2" s="105" t="s">
        <v>1917</v>
      </c>
    </row>
    <row r="3">
      <c r="A3" s="104" t="s">
        <v>1918</v>
      </c>
      <c r="B3" s="106">
        <v>45962.0</v>
      </c>
      <c r="E3" s="105"/>
    </row>
    <row r="4">
      <c r="A4" s="104" t="s">
        <v>1919</v>
      </c>
      <c r="B4" s="106">
        <v>45963.0</v>
      </c>
      <c r="E4" s="105" t="s">
        <v>1920</v>
      </c>
    </row>
    <row r="5">
      <c r="A5" s="104" t="s">
        <v>1921</v>
      </c>
      <c r="B5" s="106">
        <v>45964.0</v>
      </c>
      <c r="E5" s="105" t="s">
        <v>1922</v>
      </c>
    </row>
    <row r="6">
      <c r="A6" s="104" t="s">
        <v>1923</v>
      </c>
      <c r="B6" s="106">
        <v>45965.0</v>
      </c>
      <c r="E6" s="105" t="s">
        <v>1924</v>
      </c>
    </row>
    <row r="7">
      <c r="A7" s="104" t="s">
        <v>1925</v>
      </c>
      <c r="B7" s="106">
        <v>45966.0</v>
      </c>
      <c r="C7" s="106"/>
      <c r="E7" s="105" t="s">
        <v>296</v>
      </c>
      <c r="G7" s="104"/>
    </row>
    <row r="8">
      <c r="A8" s="104" t="s">
        <v>1926</v>
      </c>
      <c r="B8" s="106">
        <v>45967.0</v>
      </c>
      <c r="C8" s="106"/>
      <c r="E8" s="105" t="s">
        <v>296</v>
      </c>
      <c r="G8" s="104"/>
    </row>
    <row r="9">
      <c r="A9" s="104" t="s">
        <v>1916</v>
      </c>
      <c r="B9" s="106">
        <v>45968.0</v>
      </c>
      <c r="C9" s="106" t="s">
        <v>1927</v>
      </c>
      <c r="E9" s="105" t="s">
        <v>296</v>
      </c>
      <c r="G9" s="104" t="s">
        <v>1928</v>
      </c>
    </row>
    <row r="10">
      <c r="A10" s="104" t="s">
        <v>1918</v>
      </c>
      <c r="B10" s="106">
        <v>45969.0</v>
      </c>
      <c r="E10" s="105" t="s">
        <v>296</v>
      </c>
    </row>
    <row r="11">
      <c r="A11" s="104" t="s">
        <v>1919</v>
      </c>
      <c r="B11" s="106">
        <v>45970.0</v>
      </c>
      <c r="E11" s="105"/>
    </row>
    <row r="12">
      <c r="A12" s="104" t="s">
        <v>1921</v>
      </c>
      <c r="B12" s="106">
        <v>45971.0</v>
      </c>
      <c r="E12" s="105"/>
    </row>
    <row r="13">
      <c r="A13" s="104" t="s">
        <v>1923</v>
      </c>
      <c r="B13" s="106">
        <v>45972.0</v>
      </c>
      <c r="E13" s="105"/>
    </row>
    <row r="14">
      <c r="A14" s="104" t="s">
        <v>1925</v>
      </c>
      <c r="B14" s="106">
        <v>45973.0</v>
      </c>
      <c r="E14" s="105"/>
    </row>
    <row r="15">
      <c r="A15" s="104" t="s">
        <v>1926</v>
      </c>
      <c r="B15" s="106">
        <v>45974.0</v>
      </c>
      <c r="E15" s="105"/>
    </row>
    <row r="16">
      <c r="A16" s="104" t="s">
        <v>1916</v>
      </c>
      <c r="B16" s="106">
        <v>45975.0</v>
      </c>
      <c r="C16" s="104" t="s">
        <v>1929</v>
      </c>
      <c r="E16" s="105" t="s">
        <v>1930</v>
      </c>
    </row>
    <row r="17">
      <c r="A17" s="104" t="s">
        <v>1918</v>
      </c>
      <c r="B17" s="106">
        <v>45976.0</v>
      </c>
      <c r="E17" s="105"/>
    </row>
    <row r="18">
      <c r="A18" s="104" t="s">
        <v>1919</v>
      </c>
      <c r="B18" s="106">
        <v>45977.0</v>
      </c>
      <c r="E18" s="105"/>
    </row>
    <row r="19">
      <c r="A19" s="104" t="s">
        <v>1921</v>
      </c>
      <c r="B19" s="106">
        <v>45978.0</v>
      </c>
      <c r="E19" s="105"/>
    </row>
    <row r="20">
      <c r="A20" s="104" t="s">
        <v>1923</v>
      </c>
      <c r="B20" s="106">
        <v>45979.0</v>
      </c>
      <c r="E20" s="105" t="s">
        <v>1931</v>
      </c>
    </row>
    <row r="21">
      <c r="A21" s="104" t="s">
        <v>1925</v>
      </c>
      <c r="B21" s="106">
        <v>45980.0</v>
      </c>
      <c r="E21" s="105" t="s">
        <v>1932</v>
      </c>
    </row>
    <row r="22">
      <c r="A22" s="104" t="s">
        <v>1926</v>
      </c>
      <c r="B22" s="106">
        <v>45981.0</v>
      </c>
      <c r="E22" s="105" t="s">
        <v>1932</v>
      </c>
    </row>
    <row r="23">
      <c r="A23" s="104" t="s">
        <v>1916</v>
      </c>
      <c r="B23" s="106">
        <v>45982.0</v>
      </c>
      <c r="E23" s="105" t="s">
        <v>1932</v>
      </c>
    </row>
    <row r="24">
      <c r="A24" s="104" t="s">
        <v>1918</v>
      </c>
      <c r="B24" s="106">
        <v>45983.0</v>
      </c>
      <c r="E24" s="105" t="s">
        <v>1933</v>
      </c>
    </row>
    <row r="25">
      <c r="A25" s="104" t="s">
        <v>1919</v>
      </c>
      <c r="B25" s="106">
        <v>45984.0</v>
      </c>
      <c r="C25" s="104" t="s">
        <v>1934</v>
      </c>
      <c r="E25" s="104" t="s">
        <v>1935</v>
      </c>
      <c r="H25" s="104" t="s">
        <v>1936</v>
      </c>
    </row>
    <row r="26">
      <c r="A26" s="104" t="s">
        <v>1921</v>
      </c>
      <c r="B26" s="106">
        <v>45985.0</v>
      </c>
      <c r="E26" s="105" t="s">
        <v>1937</v>
      </c>
      <c r="G26" s="104" t="s">
        <v>1938</v>
      </c>
    </row>
    <row r="27">
      <c r="A27" s="104" t="s">
        <v>1923</v>
      </c>
      <c r="B27" s="107">
        <v>45986.0</v>
      </c>
      <c r="C27" s="108"/>
      <c r="D27" s="109"/>
      <c r="E27" s="108" t="s">
        <v>1939</v>
      </c>
    </row>
    <row r="28">
      <c r="A28" s="104" t="s">
        <v>1925</v>
      </c>
      <c r="B28" s="106">
        <v>45987.0</v>
      </c>
      <c r="C28" s="104"/>
    </row>
    <row r="29">
      <c r="A29" s="104" t="s">
        <v>1926</v>
      </c>
      <c r="B29" s="106">
        <v>45988.0</v>
      </c>
    </row>
    <row r="30">
      <c r="A30" s="104" t="s">
        <v>1916</v>
      </c>
      <c r="B30" s="106">
        <v>45989.0</v>
      </c>
      <c r="E30" s="104" t="s">
        <v>1940</v>
      </c>
    </row>
    <row r="31">
      <c r="A31" s="104" t="s">
        <v>1918</v>
      </c>
      <c r="B31" s="106">
        <v>45990.0</v>
      </c>
    </row>
    <row r="32">
      <c r="A32" s="104" t="s">
        <v>1919</v>
      </c>
      <c r="B32" s="106">
        <v>45991.0</v>
      </c>
      <c r="E32" s="104" t="s">
        <v>1941</v>
      </c>
    </row>
    <row r="33">
      <c r="A33" s="104" t="s">
        <v>1921</v>
      </c>
      <c r="B33" s="106">
        <v>45992.0</v>
      </c>
    </row>
    <row r="34">
      <c r="A34" s="104" t="s">
        <v>1923</v>
      </c>
      <c r="B34" s="106">
        <v>45993.0</v>
      </c>
    </row>
    <row r="35">
      <c r="A35" s="104" t="s">
        <v>1925</v>
      </c>
      <c r="B35" s="106">
        <v>45994.0</v>
      </c>
    </row>
    <row r="36">
      <c r="A36" s="104" t="s">
        <v>1926</v>
      </c>
      <c r="B36" s="106">
        <v>45995.0</v>
      </c>
    </row>
    <row r="37">
      <c r="A37" s="104" t="s">
        <v>1916</v>
      </c>
      <c r="B37" s="106">
        <v>45996.0</v>
      </c>
    </row>
    <row r="38">
      <c r="A38" s="104" t="s">
        <v>1918</v>
      </c>
      <c r="B38" s="106">
        <v>45997.0</v>
      </c>
    </row>
    <row r="39">
      <c r="A39" s="104" t="s">
        <v>1919</v>
      </c>
      <c r="B39" s="106">
        <v>45998.0</v>
      </c>
    </row>
    <row r="40">
      <c r="A40" s="104" t="s">
        <v>1921</v>
      </c>
      <c r="B40" s="106">
        <v>45999.0</v>
      </c>
    </row>
    <row r="41">
      <c r="A41" s="104" t="s">
        <v>1923</v>
      </c>
      <c r="B41" s="106">
        <v>46000.0</v>
      </c>
    </row>
    <row r="42">
      <c r="A42" s="104" t="s">
        <v>1925</v>
      </c>
      <c r="B42" s="106">
        <v>46001.0</v>
      </c>
    </row>
    <row r="43">
      <c r="A43" s="104" t="s">
        <v>1926</v>
      </c>
      <c r="B43" s="106">
        <v>46002.0</v>
      </c>
    </row>
    <row r="44">
      <c r="A44" s="104" t="s">
        <v>1916</v>
      </c>
      <c r="B44" s="106">
        <v>46003.0</v>
      </c>
    </row>
    <row r="45">
      <c r="A45" s="104" t="s">
        <v>1918</v>
      </c>
      <c r="B45" s="106">
        <v>46004.0</v>
      </c>
      <c r="E45" s="104" t="s">
        <v>1942</v>
      </c>
    </row>
    <row r="46">
      <c r="A46" s="104" t="s">
        <v>1919</v>
      </c>
      <c r="B46" s="106">
        <v>46005.0</v>
      </c>
      <c r="E46" s="104" t="s">
        <v>1943</v>
      </c>
    </row>
    <row r="47">
      <c r="A47" s="104" t="s">
        <v>1921</v>
      </c>
      <c r="B47" s="106">
        <v>46006.0</v>
      </c>
      <c r="E47" s="104" t="s">
        <v>1943</v>
      </c>
    </row>
    <row r="48">
      <c r="A48" s="104" t="s">
        <v>1923</v>
      </c>
      <c r="B48" s="106">
        <v>46007.0</v>
      </c>
      <c r="E48" s="104" t="s">
        <v>1943</v>
      </c>
    </row>
    <row r="49">
      <c r="A49" s="104" t="s">
        <v>1925</v>
      </c>
      <c r="E49" s="104" t="s">
        <v>1943</v>
      </c>
    </row>
    <row r="50">
      <c r="A50" s="104" t="s">
        <v>1926</v>
      </c>
      <c r="E50" s="104" t="s">
        <v>1943</v>
      </c>
    </row>
    <row r="51">
      <c r="A51" s="104" t="s">
        <v>1916</v>
      </c>
      <c r="E51" s="104" t="s">
        <v>1943</v>
      </c>
    </row>
    <row r="52">
      <c r="A52" s="104" t="s">
        <v>1918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
        <v>1944</v>
      </c>
      <c r="B1" s="104" t="s">
        <v>1945</v>
      </c>
      <c r="C1" s="104" t="s">
        <v>1946</v>
      </c>
    </row>
    <row r="2">
      <c r="A2" s="104" t="s">
        <v>1947</v>
      </c>
      <c r="B2" s="104" t="s">
        <v>1948</v>
      </c>
      <c r="C2" s="104" t="b">
        <v>0</v>
      </c>
    </row>
    <row r="3">
      <c r="A3" s="104" t="s">
        <v>1947</v>
      </c>
      <c r="B3" s="104" t="s">
        <v>1949</v>
      </c>
      <c r="C3" s="104" t="b">
        <v>0</v>
      </c>
    </row>
    <row r="4">
      <c r="A4" s="104" t="s">
        <v>1950</v>
      </c>
      <c r="B4" s="104" t="s">
        <v>1948</v>
      </c>
      <c r="C4" s="104" t="b">
        <v>1</v>
      </c>
    </row>
    <row r="5">
      <c r="A5" s="104" t="s">
        <v>1950</v>
      </c>
      <c r="B5" s="104" t="s">
        <v>1949</v>
      </c>
      <c r="C5" s="104" t="b">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44.38"/>
    <col customWidth="1" min="5" max="5" width="29.75"/>
  </cols>
  <sheetData>
    <row r="1">
      <c r="A1" s="110" t="s">
        <v>1951</v>
      </c>
      <c r="B1" s="110" t="s">
        <v>1952</v>
      </c>
      <c r="C1" s="110" t="s">
        <v>1953</v>
      </c>
      <c r="D1" s="110" t="s">
        <v>1954</v>
      </c>
      <c r="E1" s="110" t="s">
        <v>1955</v>
      </c>
      <c r="F1" s="110" t="s">
        <v>1956</v>
      </c>
    </row>
    <row r="2">
      <c r="A2" s="111" t="s">
        <v>0</v>
      </c>
      <c r="B2" s="111" t="s">
        <v>1957</v>
      </c>
      <c r="C2" s="111" t="s">
        <v>1958</v>
      </c>
      <c r="D2" s="111" t="s">
        <v>1959</v>
      </c>
      <c r="E2" s="111" t="s">
        <v>1960</v>
      </c>
      <c r="F2" s="111" t="s">
        <v>558</v>
      </c>
    </row>
    <row r="3">
      <c r="A3" s="111" t="s">
        <v>1</v>
      </c>
      <c r="B3" s="111" t="s">
        <v>1961</v>
      </c>
      <c r="C3" s="111" t="s">
        <v>1958</v>
      </c>
      <c r="D3" s="111" t="s">
        <v>1962</v>
      </c>
      <c r="E3" s="111" t="s">
        <v>1963</v>
      </c>
      <c r="F3" s="111" t="s">
        <v>559</v>
      </c>
    </row>
    <row r="4">
      <c r="A4" s="111" t="s">
        <v>2</v>
      </c>
      <c r="B4" s="111" t="s">
        <v>1961</v>
      </c>
      <c r="C4" s="111" t="s">
        <v>1958</v>
      </c>
      <c r="D4" s="111" t="s">
        <v>1964</v>
      </c>
      <c r="E4" s="111" t="s">
        <v>1965</v>
      </c>
      <c r="F4" s="111" t="s">
        <v>560</v>
      </c>
    </row>
    <row r="5">
      <c r="A5" s="111" t="s">
        <v>1966</v>
      </c>
      <c r="B5" s="111" t="s">
        <v>1961</v>
      </c>
      <c r="C5" s="111" t="s">
        <v>1958</v>
      </c>
      <c r="D5" s="111" t="s">
        <v>1967</v>
      </c>
      <c r="E5" s="111" t="s">
        <v>1968</v>
      </c>
      <c r="F5" s="111" t="s">
        <v>557</v>
      </c>
    </row>
    <row r="6">
      <c r="A6" s="111" t="s">
        <v>4</v>
      </c>
      <c r="B6" s="111" t="s">
        <v>1961</v>
      </c>
      <c r="C6" s="111" t="s">
        <v>1958</v>
      </c>
      <c r="D6" s="111" t="s">
        <v>1969</v>
      </c>
      <c r="E6" s="111" t="s">
        <v>1963</v>
      </c>
      <c r="F6" s="111" t="s">
        <v>600</v>
      </c>
    </row>
    <row r="7">
      <c r="A7" s="111" t="s">
        <v>5</v>
      </c>
      <c r="B7" s="111" t="s">
        <v>1961</v>
      </c>
      <c r="C7" s="111" t="s">
        <v>1958</v>
      </c>
      <c r="D7" s="112" t="s">
        <v>1970</v>
      </c>
      <c r="E7" s="111" t="s">
        <v>1963</v>
      </c>
      <c r="F7" s="111" t="s">
        <v>562</v>
      </c>
    </row>
    <row r="8">
      <c r="A8" s="111" t="s">
        <v>1971</v>
      </c>
      <c r="B8" s="111" t="s">
        <v>1972</v>
      </c>
      <c r="C8" s="111" t="s">
        <v>1958</v>
      </c>
      <c r="D8" s="112" t="s">
        <v>1973</v>
      </c>
      <c r="E8" s="111" t="s">
        <v>1974</v>
      </c>
      <c r="F8" s="111" t="s">
        <v>118</v>
      </c>
    </row>
    <row r="9">
      <c r="A9" s="111" t="s">
        <v>7</v>
      </c>
      <c r="B9" s="111" t="s">
        <v>1975</v>
      </c>
      <c r="C9" s="111" t="s">
        <v>1958</v>
      </c>
      <c r="D9" s="111" t="s">
        <v>1976</v>
      </c>
      <c r="E9" s="111" t="s">
        <v>1977</v>
      </c>
      <c r="F9" s="113" t="s">
        <v>1978</v>
      </c>
    </row>
    <row r="10">
      <c r="A10" s="111" t="s">
        <v>8</v>
      </c>
      <c r="B10" s="111" t="s">
        <v>1979</v>
      </c>
      <c r="C10" s="111" t="s">
        <v>1980</v>
      </c>
      <c r="D10" s="112" t="s">
        <v>1981</v>
      </c>
      <c r="E10" s="111" t="s">
        <v>1982</v>
      </c>
      <c r="F10" s="111" t="s">
        <v>1983</v>
      </c>
    </row>
    <row r="11">
      <c r="A11" s="111" t="s">
        <v>9</v>
      </c>
      <c r="B11" s="111" t="s">
        <v>1961</v>
      </c>
      <c r="C11" s="111" t="s">
        <v>1980</v>
      </c>
      <c r="D11" s="111" t="s">
        <v>1984</v>
      </c>
      <c r="E11" s="111" t="s">
        <v>1985</v>
      </c>
      <c r="F11" s="111" t="s">
        <v>1986</v>
      </c>
    </row>
    <row r="12">
      <c r="A12" s="111" t="s">
        <v>10</v>
      </c>
      <c r="B12" s="111" t="s">
        <v>1987</v>
      </c>
      <c r="C12" s="111" t="s">
        <v>1980</v>
      </c>
      <c r="D12" s="111" t="s">
        <v>1988</v>
      </c>
      <c r="E12" s="111" t="s">
        <v>1989</v>
      </c>
      <c r="F12" s="111" t="s">
        <v>1124</v>
      </c>
    </row>
    <row r="13">
      <c r="A13" s="111" t="s">
        <v>11</v>
      </c>
      <c r="B13" s="111" t="s">
        <v>1961</v>
      </c>
      <c r="C13" s="111" t="s">
        <v>1980</v>
      </c>
      <c r="D13" s="111" t="s">
        <v>1990</v>
      </c>
      <c r="E13" s="111" t="s">
        <v>1991</v>
      </c>
      <c r="F13" s="111" t="s">
        <v>1992</v>
      </c>
    </row>
    <row r="14">
      <c r="A14" s="111" t="s">
        <v>12</v>
      </c>
      <c r="B14" s="111" t="s">
        <v>1993</v>
      </c>
      <c r="C14" s="111" t="s">
        <v>1980</v>
      </c>
      <c r="D14" s="111" t="s">
        <v>1994</v>
      </c>
      <c r="E14" s="111" t="s">
        <v>1995</v>
      </c>
      <c r="F14" s="114">
        <v>760.0</v>
      </c>
    </row>
    <row r="15">
      <c r="A15" s="111" t="s">
        <v>13</v>
      </c>
      <c r="B15" s="111" t="s">
        <v>1961</v>
      </c>
      <c r="C15" s="111" t="s">
        <v>1980</v>
      </c>
      <c r="D15" s="111" t="s">
        <v>1996</v>
      </c>
      <c r="E15" s="111" t="s">
        <v>1963</v>
      </c>
      <c r="F15" s="111" t="s">
        <v>1997</v>
      </c>
    </row>
    <row r="16">
      <c r="A16" s="111" t="s">
        <v>14</v>
      </c>
      <c r="B16" s="111" t="s">
        <v>1993</v>
      </c>
      <c r="C16" s="111" t="s">
        <v>1980</v>
      </c>
      <c r="D16" s="111" t="s">
        <v>1998</v>
      </c>
      <c r="E16" s="111" t="s">
        <v>1999</v>
      </c>
      <c r="F16" s="115">
        <v>15000.0</v>
      </c>
    </row>
    <row r="17">
      <c r="A17" s="111" t="s">
        <v>15</v>
      </c>
      <c r="B17" s="111" t="s">
        <v>1961</v>
      </c>
      <c r="C17" s="111" t="s">
        <v>1980</v>
      </c>
      <c r="D17" s="111" t="s">
        <v>2000</v>
      </c>
      <c r="E17" s="111" t="s">
        <v>1963</v>
      </c>
      <c r="F17" s="111" t="s">
        <v>2001</v>
      </c>
    </row>
    <row r="18">
      <c r="A18" s="111" t="s">
        <v>16</v>
      </c>
      <c r="B18" s="111" t="s">
        <v>1961</v>
      </c>
      <c r="C18" s="111" t="s">
        <v>1958</v>
      </c>
      <c r="D18" s="111" t="s">
        <v>2002</v>
      </c>
      <c r="E18" s="111" t="s">
        <v>1963</v>
      </c>
      <c r="F18" s="111" t="s">
        <v>2003</v>
      </c>
    </row>
    <row r="19">
      <c r="A19" s="111" t="s">
        <v>17</v>
      </c>
      <c r="B19" s="111" t="s">
        <v>1961</v>
      </c>
      <c r="C19" s="111" t="s">
        <v>1980</v>
      </c>
      <c r="D19" s="111" t="s">
        <v>2004</v>
      </c>
      <c r="E19" s="111" t="s">
        <v>1963</v>
      </c>
      <c r="F19" s="111" t="s">
        <v>1566</v>
      </c>
    </row>
    <row r="20">
      <c r="A20" s="111" t="s">
        <v>18</v>
      </c>
      <c r="B20" s="111" t="s">
        <v>1961</v>
      </c>
      <c r="C20" s="111" t="s">
        <v>1958</v>
      </c>
      <c r="D20" s="111" t="s">
        <v>2005</v>
      </c>
      <c r="E20" s="111" t="s">
        <v>1985</v>
      </c>
      <c r="F20" s="111" t="s">
        <v>2006</v>
      </c>
    </row>
    <row r="21">
      <c r="A21" s="111" t="s">
        <v>19</v>
      </c>
      <c r="B21" s="111" t="s">
        <v>1987</v>
      </c>
      <c r="C21" s="111" t="s">
        <v>1958</v>
      </c>
      <c r="D21" s="111" t="s">
        <v>2007</v>
      </c>
      <c r="E21" s="111" t="s">
        <v>2008</v>
      </c>
      <c r="F21" s="111" t="s">
        <v>69</v>
      </c>
    </row>
    <row r="22">
      <c r="A22" s="111" t="s">
        <v>20</v>
      </c>
      <c r="B22" s="111" t="s">
        <v>1987</v>
      </c>
      <c r="C22" s="111" t="s">
        <v>1958</v>
      </c>
      <c r="D22" s="111" t="s">
        <v>2009</v>
      </c>
      <c r="E22" s="111" t="s">
        <v>2010</v>
      </c>
      <c r="F22" s="111" t="s">
        <v>70</v>
      </c>
    </row>
    <row r="23">
      <c r="A23" s="111" t="s">
        <v>21</v>
      </c>
      <c r="B23" s="111" t="s">
        <v>2011</v>
      </c>
      <c r="C23" s="111" t="s">
        <v>1958</v>
      </c>
      <c r="D23" s="111" t="s">
        <v>2012</v>
      </c>
      <c r="E23" s="111" t="s">
        <v>2013</v>
      </c>
      <c r="F23" s="116">
        <v>45628.0</v>
      </c>
    </row>
    <row r="24">
      <c r="A24" s="111" t="s">
        <v>22</v>
      </c>
      <c r="B24" s="111" t="s">
        <v>1987</v>
      </c>
      <c r="C24" s="111" t="s">
        <v>1958</v>
      </c>
      <c r="D24" s="111" t="s">
        <v>2014</v>
      </c>
      <c r="E24" s="111" t="s">
        <v>2015</v>
      </c>
      <c r="F24" s="111" t="s">
        <v>566</v>
      </c>
    </row>
    <row r="25">
      <c r="A25" s="111" t="s">
        <v>23</v>
      </c>
      <c r="B25" s="111" t="s">
        <v>1961</v>
      </c>
      <c r="C25" s="111" t="s">
        <v>1958</v>
      </c>
      <c r="D25" s="111" t="s">
        <v>2016</v>
      </c>
      <c r="E25" s="111" t="s">
        <v>1963</v>
      </c>
      <c r="F25" s="111" t="s">
        <v>2017</v>
      </c>
    </row>
    <row r="26">
      <c r="A26" s="111" t="s">
        <v>24</v>
      </c>
      <c r="B26" s="111" t="s">
        <v>2018</v>
      </c>
      <c r="C26" s="111" t="s">
        <v>1980</v>
      </c>
      <c r="D26" s="111" t="s">
        <v>2019</v>
      </c>
      <c r="E26" s="111" t="s">
        <v>2020</v>
      </c>
      <c r="F26" s="114">
        <v>4.0</v>
      </c>
    </row>
    <row r="27">
      <c r="A27" s="111" t="s">
        <v>25</v>
      </c>
      <c r="B27" s="111" t="s">
        <v>1987</v>
      </c>
      <c r="C27" s="111" t="s">
        <v>1958</v>
      </c>
      <c r="D27" s="111" t="s">
        <v>2021</v>
      </c>
      <c r="E27" s="111" t="s">
        <v>2022</v>
      </c>
      <c r="F27" s="111" t="s">
        <v>50</v>
      </c>
    </row>
    <row r="28">
      <c r="A28" s="111" t="s">
        <v>26</v>
      </c>
      <c r="B28" s="111" t="s">
        <v>2023</v>
      </c>
      <c r="C28" s="111" t="s">
        <v>1958</v>
      </c>
      <c r="D28" s="112" t="s">
        <v>2024</v>
      </c>
      <c r="E28" s="111" t="s">
        <v>2025</v>
      </c>
      <c r="F28" s="111" t="s">
        <v>2026</v>
      </c>
    </row>
    <row r="29">
      <c r="A29" s="23"/>
      <c r="B29" s="23"/>
      <c r="C29" s="23"/>
      <c r="D29" s="23"/>
      <c r="E29" s="23"/>
      <c r="F29" s="23"/>
    </row>
  </sheetData>
  <hyperlinks>
    <hyperlink r:id="rId1" ref="F9"/>
  </hyperlinks>
  <printOptions gridLines="1" horizontalCentered="1"/>
  <pageMargins bottom="0.75" footer="0.0" header="0.0" left="0.7" right="0.7" top="0.75"/>
  <pageSetup fitToHeight="0"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1.63"/>
    <col customWidth="1" min="16" max="16" width="35.38"/>
    <col customWidth="1" min="17" max="17" width="29.38"/>
    <col customWidth="1" min="19" max="19" width="29.75"/>
  </cols>
  <sheetData>
    <row r="1">
      <c r="A1" s="117" t="s">
        <v>2027</v>
      </c>
      <c r="B1" s="118" t="s">
        <v>1913</v>
      </c>
      <c r="C1" s="117" t="s">
        <v>2028</v>
      </c>
      <c r="D1" s="117" t="s">
        <v>2029</v>
      </c>
      <c r="E1" s="117" t="s">
        <v>2</v>
      </c>
      <c r="F1" s="117" t="s">
        <v>4</v>
      </c>
      <c r="G1" s="117" t="s">
        <v>2030</v>
      </c>
      <c r="H1" s="117" t="s">
        <v>2031</v>
      </c>
      <c r="I1" s="117" t="s">
        <v>2032</v>
      </c>
      <c r="J1" s="117" t="s">
        <v>2033</v>
      </c>
      <c r="K1" s="117" t="s">
        <v>2034</v>
      </c>
      <c r="L1" s="117" t="s">
        <v>2035</v>
      </c>
      <c r="M1" s="117" t="s">
        <v>2036</v>
      </c>
      <c r="N1" s="117" t="s">
        <v>2037</v>
      </c>
      <c r="O1" s="117" t="s">
        <v>2038</v>
      </c>
      <c r="P1" s="117" t="s">
        <v>2039</v>
      </c>
      <c r="Q1" s="117" t="s">
        <v>2040</v>
      </c>
      <c r="R1" s="117" t="s">
        <v>2041</v>
      </c>
      <c r="S1" s="117" t="s">
        <v>2042</v>
      </c>
      <c r="T1" s="117" t="s">
        <v>2043</v>
      </c>
      <c r="U1" s="119" t="s">
        <v>2044</v>
      </c>
      <c r="V1" s="119" t="s">
        <v>2045</v>
      </c>
      <c r="W1" s="120" t="s">
        <v>2046</v>
      </c>
      <c r="X1" s="23"/>
      <c r="Y1" s="23"/>
      <c r="Z1" s="23"/>
      <c r="AA1" s="23"/>
      <c r="AB1" s="23"/>
      <c r="AC1" s="23"/>
      <c r="AD1" s="23"/>
    </row>
    <row r="2">
      <c r="A2" s="23" t="s">
        <v>2047</v>
      </c>
      <c r="B2" s="121"/>
      <c r="C2" s="23" t="s">
        <v>2048</v>
      </c>
      <c r="D2" s="122">
        <v>2025.0</v>
      </c>
      <c r="E2" s="23" t="s">
        <v>2049</v>
      </c>
      <c r="F2" s="23" t="s">
        <v>600</v>
      </c>
      <c r="G2" s="111" t="s">
        <v>2050</v>
      </c>
      <c r="H2" s="23"/>
      <c r="I2" s="111" t="s">
        <v>2051</v>
      </c>
      <c r="J2" s="111" t="s">
        <v>2052</v>
      </c>
      <c r="K2" s="23"/>
      <c r="L2" s="23"/>
      <c r="M2" s="23"/>
      <c r="N2" s="23"/>
      <c r="O2" s="23"/>
      <c r="P2" s="111" t="s">
        <v>2053</v>
      </c>
      <c r="Q2" s="111" t="s">
        <v>2054</v>
      </c>
      <c r="R2" s="111" t="s">
        <v>2055</v>
      </c>
      <c r="S2" s="111" t="s">
        <v>2056</v>
      </c>
      <c r="T2" s="23"/>
      <c r="U2" s="23"/>
      <c r="V2" s="23"/>
      <c r="W2" s="23"/>
      <c r="X2" s="23"/>
      <c r="Y2" s="23"/>
      <c r="Z2" s="23"/>
      <c r="AA2" s="23"/>
      <c r="AB2" s="23"/>
      <c r="AC2" s="23"/>
      <c r="AD2" s="23"/>
    </row>
    <row r="3">
      <c r="A3" s="111" t="s">
        <v>2057</v>
      </c>
      <c r="B3" s="121"/>
      <c r="C3" s="111" t="s">
        <v>2048</v>
      </c>
      <c r="D3" s="122">
        <v>2025.0</v>
      </c>
      <c r="E3" s="111" t="s">
        <v>2058</v>
      </c>
      <c r="F3" s="23" t="s">
        <v>2059</v>
      </c>
      <c r="G3" s="111" t="s">
        <v>2060</v>
      </c>
      <c r="H3" s="23"/>
      <c r="I3" s="111" t="s">
        <v>2061</v>
      </c>
      <c r="J3" s="111" t="s">
        <v>2062</v>
      </c>
      <c r="K3" s="111" t="s">
        <v>2063</v>
      </c>
      <c r="L3" s="123"/>
      <c r="M3" s="123"/>
      <c r="N3" s="124">
        <v>7.0</v>
      </c>
      <c r="O3" s="111" t="s">
        <v>2064</v>
      </c>
      <c r="P3" s="111" t="s">
        <v>2065</v>
      </c>
      <c r="Q3" s="23"/>
      <c r="R3" s="111" t="s">
        <v>2066</v>
      </c>
      <c r="S3" s="111" t="s">
        <v>2067</v>
      </c>
      <c r="T3" s="23"/>
      <c r="U3" s="23"/>
      <c r="V3" s="23"/>
      <c r="W3" s="23"/>
      <c r="X3" s="23"/>
      <c r="Y3" s="23"/>
      <c r="Z3" s="23"/>
      <c r="AA3" s="23"/>
      <c r="AB3" s="23"/>
      <c r="AC3" s="23"/>
      <c r="AD3" s="23"/>
    </row>
    <row r="4">
      <c r="A4" s="111" t="s">
        <v>2057</v>
      </c>
      <c r="B4" s="121"/>
      <c r="C4" s="111" t="s">
        <v>2048</v>
      </c>
      <c r="D4" s="122">
        <v>2025.0</v>
      </c>
      <c r="E4" s="111" t="s">
        <v>2058</v>
      </c>
      <c r="F4" s="23" t="s">
        <v>2059</v>
      </c>
      <c r="G4" s="111" t="s">
        <v>2068</v>
      </c>
      <c r="H4" s="23"/>
      <c r="I4" s="111" t="s">
        <v>2061</v>
      </c>
      <c r="J4" s="111" t="s">
        <v>2069</v>
      </c>
      <c r="K4" s="111" t="s">
        <v>2063</v>
      </c>
      <c r="L4" s="23"/>
      <c r="M4" s="23"/>
      <c r="N4" s="124">
        <v>9.0</v>
      </c>
      <c r="O4" s="111" t="s">
        <v>2064</v>
      </c>
      <c r="P4" s="111" t="s">
        <v>2070</v>
      </c>
      <c r="Q4" s="111" t="s">
        <v>2071</v>
      </c>
      <c r="R4" s="111" t="s">
        <v>2066</v>
      </c>
      <c r="S4" s="111" t="s">
        <v>2072</v>
      </c>
      <c r="T4" s="23"/>
      <c r="U4" s="23"/>
      <c r="V4" s="23"/>
      <c r="W4" s="23"/>
      <c r="X4" s="23"/>
      <c r="Y4" s="23"/>
      <c r="Z4" s="23"/>
      <c r="AA4" s="23"/>
      <c r="AB4" s="23"/>
      <c r="AC4" s="23"/>
      <c r="AD4" s="23"/>
    </row>
    <row r="5">
      <c r="A5" s="111" t="s">
        <v>2073</v>
      </c>
      <c r="B5" s="121"/>
      <c r="C5" s="111" t="s">
        <v>2048</v>
      </c>
      <c r="D5" s="122">
        <v>2025.0</v>
      </c>
      <c r="E5" s="111" t="s">
        <v>2058</v>
      </c>
      <c r="F5" s="23" t="s">
        <v>2059</v>
      </c>
      <c r="G5" s="111" t="s">
        <v>2074</v>
      </c>
      <c r="H5" s="23"/>
      <c r="I5" s="111" t="s">
        <v>2075</v>
      </c>
      <c r="J5" s="111" t="s">
        <v>2076</v>
      </c>
      <c r="K5" s="111" t="s">
        <v>2077</v>
      </c>
      <c r="L5" s="23"/>
      <c r="M5" s="23"/>
      <c r="N5" s="124">
        <v>10.0</v>
      </c>
      <c r="O5" s="111" t="s">
        <v>2078</v>
      </c>
      <c r="P5" s="111" t="s">
        <v>2079</v>
      </c>
      <c r="Q5" s="111" t="s">
        <v>2080</v>
      </c>
      <c r="R5" s="111" t="s">
        <v>2081</v>
      </c>
      <c r="S5" s="111" t="s">
        <v>2082</v>
      </c>
      <c r="T5" s="23"/>
      <c r="U5" s="23"/>
      <c r="V5" s="23"/>
      <c r="W5" s="23"/>
      <c r="X5" s="23"/>
      <c r="Y5" s="23"/>
      <c r="Z5" s="23"/>
      <c r="AA5" s="23"/>
      <c r="AB5" s="23"/>
      <c r="AC5" s="23"/>
      <c r="AD5" s="23"/>
    </row>
    <row r="6">
      <c r="A6" s="111" t="s">
        <v>2083</v>
      </c>
      <c r="B6" s="121"/>
      <c r="C6" s="111" t="s">
        <v>2048</v>
      </c>
      <c r="D6" s="122">
        <v>2025.0</v>
      </c>
      <c r="E6" s="111" t="s">
        <v>278</v>
      </c>
      <c r="F6" s="111" t="s">
        <v>296</v>
      </c>
      <c r="G6" s="111" t="s">
        <v>2084</v>
      </c>
      <c r="H6" s="23"/>
      <c r="I6" s="111" t="s">
        <v>2085</v>
      </c>
      <c r="J6" s="111" t="s">
        <v>2086</v>
      </c>
      <c r="K6" s="23"/>
      <c r="L6" s="23"/>
      <c r="M6" s="23"/>
      <c r="N6" s="124">
        <v>6.0</v>
      </c>
      <c r="O6" s="111" t="s">
        <v>2087</v>
      </c>
      <c r="P6" s="111" t="s">
        <v>2088</v>
      </c>
      <c r="Q6" s="111" t="s">
        <v>2089</v>
      </c>
      <c r="R6" s="111" t="s">
        <v>2081</v>
      </c>
      <c r="S6" s="111" t="s">
        <v>2090</v>
      </c>
      <c r="T6" s="23"/>
      <c r="U6" s="23"/>
      <c r="V6" s="23"/>
      <c r="W6" s="23"/>
      <c r="X6" s="23"/>
      <c r="Y6" s="23"/>
      <c r="Z6" s="23"/>
      <c r="AA6" s="23"/>
      <c r="AB6" s="23"/>
      <c r="AC6" s="23"/>
      <c r="AD6" s="23"/>
    </row>
    <row r="7">
      <c r="A7" s="111" t="s">
        <v>2091</v>
      </c>
      <c r="B7" s="121"/>
      <c r="C7" s="111" t="s">
        <v>2092</v>
      </c>
      <c r="D7" s="122">
        <v>2025.0</v>
      </c>
      <c r="E7" s="111" t="s">
        <v>1639</v>
      </c>
      <c r="F7" s="111" t="s">
        <v>2093</v>
      </c>
      <c r="G7" s="111" t="s">
        <v>2094</v>
      </c>
      <c r="H7" s="23"/>
      <c r="I7" s="111" t="s">
        <v>2095</v>
      </c>
      <c r="J7" s="111" t="s">
        <v>2096</v>
      </c>
      <c r="K7" s="23"/>
      <c r="L7" s="23"/>
      <c r="M7" s="23"/>
      <c r="N7" s="124">
        <v>2.0</v>
      </c>
      <c r="O7" s="111" t="s">
        <v>2097</v>
      </c>
      <c r="P7" s="111" t="s">
        <v>2098</v>
      </c>
      <c r="Q7" s="111" t="s">
        <v>2099</v>
      </c>
      <c r="R7" s="111" t="s">
        <v>2081</v>
      </c>
      <c r="S7" s="111" t="s">
        <v>2100</v>
      </c>
      <c r="T7" s="23"/>
      <c r="U7" s="23"/>
      <c r="V7" s="23"/>
      <c r="W7" s="23"/>
      <c r="X7" s="23"/>
      <c r="Y7" s="23"/>
      <c r="Z7" s="23"/>
      <c r="AA7" s="23"/>
      <c r="AB7" s="23"/>
      <c r="AC7" s="23"/>
      <c r="AD7" s="23"/>
    </row>
    <row r="8">
      <c r="A8" s="111" t="s">
        <v>2101</v>
      </c>
      <c r="B8" s="121"/>
      <c r="C8" s="111" t="s">
        <v>2092</v>
      </c>
      <c r="D8" s="122">
        <v>2025.0</v>
      </c>
      <c r="E8" s="111" t="s">
        <v>1639</v>
      </c>
      <c r="F8" s="111" t="s">
        <v>2102</v>
      </c>
      <c r="G8" s="111" t="s">
        <v>2103</v>
      </c>
      <c r="H8" s="23"/>
      <c r="I8" s="111" t="s">
        <v>2104</v>
      </c>
      <c r="J8" s="111" t="s">
        <v>2105</v>
      </c>
      <c r="K8" s="111" t="s">
        <v>2106</v>
      </c>
      <c r="L8" s="23"/>
      <c r="M8" s="23"/>
      <c r="N8" s="124">
        <v>3.0</v>
      </c>
      <c r="O8" s="111" t="s">
        <v>2107</v>
      </c>
      <c r="P8" s="111" t="s">
        <v>2108</v>
      </c>
      <c r="Q8" s="23"/>
      <c r="R8" s="111" t="s">
        <v>2109</v>
      </c>
      <c r="S8" s="111" t="s">
        <v>2110</v>
      </c>
      <c r="T8" s="23"/>
      <c r="U8" s="23"/>
      <c r="V8" s="23"/>
      <c r="W8" s="23"/>
      <c r="X8" s="23"/>
      <c r="Y8" s="23"/>
      <c r="Z8" s="23"/>
      <c r="AA8" s="23"/>
      <c r="AB8" s="23"/>
      <c r="AC8" s="23"/>
      <c r="AD8" s="23"/>
    </row>
    <row r="9">
      <c r="A9" s="111" t="s">
        <v>2111</v>
      </c>
      <c r="B9" s="125">
        <v>6.0</v>
      </c>
      <c r="C9" s="111" t="s">
        <v>2092</v>
      </c>
      <c r="D9" s="122">
        <v>2025.0</v>
      </c>
      <c r="E9" s="111" t="s">
        <v>1639</v>
      </c>
      <c r="F9" s="111" t="s">
        <v>2112</v>
      </c>
      <c r="G9" s="111" t="s">
        <v>2113</v>
      </c>
      <c r="H9" s="23"/>
      <c r="I9" s="111" t="s">
        <v>2114</v>
      </c>
      <c r="J9" s="111" t="s">
        <v>2115</v>
      </c>
      <c r="K9" s="111" t="s">
        <v>2116</v>
      </c>
      <c r="L9" s="23"/>
      <c r="M9" s="23"/>
      <c r="N9" s="124">
        <v>6.0</v>
      </c>
      <c r="O9" s="111" t="s">
        <v>2117</v>
      </c>
      <c r="P9" s="111" t="s">
        <v>2118</v>
      </c>
      <c r="Q9" s="23"/>
      <c r="R9" s="111" t="s">
        <v>2119</v>
      </c>
      <c r="S9" s="111" t="s">
        <v>2120</v>
      </c>
      <c r="T9" s="23"/>
      <c r="U9" s="23"/>
      <c r="V9" s="23"/>
      <c r="W9" s="23"/>
      <c r="X9" s="23"/>
      <c r="Y9" s="23"/>
      <c r="Z9" s="23"/>
      <c r="AA9" s="23"/>
      <c r="AB9" s="23"/>
      <c r="AC9" s="23"/>
      <c r="AD9" s="23"/>
    </row>
    <row r="10">
      <c r="A10" s="23" t="s">
        <v>2121</v>
      </c>
      <c r="B10" s="125">
        <v>15.0</v>
      </c>
      <c r="C10" s="111" t="s">
        <v>2092</v>
      </c>
      <c r="D10" s="114">
        <v>2025.0</v>
      </c>
      <c r="E10" s="23"/>
      <c r="F10" s="23"/>
      <c r="G10" s="111" t="s">
        <v>2122</v>
      </c>
      <c r="H10" s="23"/>
      <c r="I10" s="23"/>
      <c r="J10" s="23"/>
      <c r="K10" s="23"/>
      <c r="L10" s="23"/>
      <c r="M10" s="23"/>
      <c r="N10" s="124">
        <v>6.0</v>
      </c>
      <c r="O10" s="111" t="s">
        <v>2123</v>
      </c>
      <c r="P10" s="23"/>
      <c r="Q10" s="111" t="s">
        <v>2124</v>
      </c>
      <c r="R10" s="111" t="s">
        <v>2125</v>
      </c>
      <c r="S10" s="111" t="s">
        <v>2126</v>
      </c>
      <c r="T10" s="23"/>
      <c r="U10" s="23"/>
      <c r="V10" s="23"/>
      <c r="W10" s="23"/>
      <c r="X10" s="23"/>
      <c r="Y10" s="23"/>
      <c r="Z10" s="23"/>
      <c r="AA10" s="23"/>
      <c r="AB10" s="23"/>
      <c r="AC10" s="23"/>
      <c r="AD10" s="23"/>
    </row>
    <row r="11">
      <c r="A11" s="23" t="s">
        <v>2127</v>
      </c>
      <c r="B11" s="125">
        <v>2.0</v>
      </c>
      <c r="C11" s="111" t="s">
        <v>2128</v>
      </c>
      <c r="D11" s="23"/>
      <c r="E11" s="111" t="s">
        <v>2058</v>
      </c>
      <c r="F11" s="111" t="s">
        <v>2129</v>
      </c>
      <c r="G11" s="23"/>
      <c r="H11" s="23"/>
      <c r="I11" s="23"/>
      <c r="J11" s="23"/>
      <c r="K11" s="23"/>
      <c r="L11" s="23"/>
      <c r="M11" s="23"/>
      <c r="N11" s="23"/>
      <c r="O11" s="23"/>
      <c r="P11" s="23"/>
      <c r="Q11" s="23"/>
      <c r="R11" s="23"/>
      <c r="S11" s="23"/>
      <c r="T11" s="23"/>
      <c r="U11" s="23"/>
      <c r="V11" s="23"/>
      <c r="W11" s="23"/>
      <c r="X11" s="23"/>
      <c r="Y11" s="23"/>
      <c r="Z11" s="23"/>
      <c r="AA11" s="23"/>
      <c r="AB11" s="23"/>
      <c r="AC11" s="23"/>
      <c r="AD11" s="23"/>
    </row>
    <row r="12">
      <c r="A12" s="111" t="s">
        <v>2130</v>
      </c>
      <c r="B12" s="121"/>
      <c r="C12" s="23"/>
      <c r="D12" s="23"/>
      <c r="E12" s="23"/>
      <c r="F12" s="23"/>
      <c r="G12" s="111" t="s">
        <v>2131</v>
      </c>
      <c r="H12" s="23"/>
      <c r="I12" s="23"/>
      <c r="J12" s="23"/>
      <c r="K12" s="23"/>
      <c r="L12" s="23"/>
      <c r="M12" s="23"/>
      <c r="N12" s="23"/>
      <c r="O12" s="23"/>
      <c r="P12" s="23"/>
      <c r="Q12" s="23"/>
      <c r="R12" s="23"/>
      <c r="S12" s="23"/>
      <c r="T12" s="23"/>
      <c r="U12" s="23"/>
      <c r="V12" s="23"/>
      <c r="W12" s="23"/>
      <c r="X12" s="23"/>
      <c r="Y12" s="23"/>
      <c r="Z12" s="23"/>
      <c r="AA12" s="23"/>
      <c r="AB12" s="23"/>
      <c r="AC12" s="23"/>
      <c r="AD12" s="23"/>
    </row>
    <row r="13">
      <c r="A13" s="23" t="s">
        <v>2132</v>
      </c>
      <c r="B13" s="121"/>
      <c r="C13" s="23"/>
      <c r="D13" s="23"/>
      <c r="E13" s="23"/>
      <c r="F13" s="23"/>
      <c r="G13" s="111" t="s">
        <v>2133</v>
      </c>
      <c r="H13" s="23"/>
      <c r="I13" s="23"/>
      <c r="J13" s="23"/>
      <c r="K13" s="23"/>
      <c r="L13" s="23"/>
      <c r="M13" s="23"/>
      <c r="N13" s="23"/>
      <c r="O13" s="23"/>
      <c r="P13" s="23"/>
      <c r="Q13" s="23"/>
      <c r="R13" s="23"/>
      <c r="S13" s="23"/>
      <c r="T13" s="23"/>
      <c r="U13" s="23"/>
      <c r="V13" s="23"/>
      <c r="W13" s="23"/>
      <c r="X13" s="23"/>
      <c r="Y13" s="23"/>
      <c r="Z13" s="23"/>
      <c r="AA13" s="23"/>
      <c r="AB13" s="23"/>
      <c r="AC13" s="23"/>
      <c r="AD13" s="23"/>
    </row>
    <row r="14">
      <c r="A14" s="23"/>
      <c r="B14" s="121"/>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c r="A15" s="23"/>
      <c r="B15" s="121"/>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row>
    <row r="16">
      <c r="A16" s="23"/>
      <c r="B16" s="121"/>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row>
    <row r="17">
      <c r="A17" s="23"/>
      <c r="B17" s="121"/>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row>
    <row r="18">
      <c r="A18" s="23"/>
      <c r="B18" s="12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row>
    <row r="19">
      <c r="A19" s="23"/>
      <c r="B19" s="121"/>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sheetData>
  <dataValidations>
    <dataValidation type="list" allowBlank="1" showErrorMessage="1" sqref="T5 T13 T16:T18">
      <formula1>"Yes,Not yet,No need to follow up"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18.88"/>
    <col customWidth="1" min="9" max="9" width="19.5"/>
    <col customWidth="1" min="10" max="10" width="23.38"/>
    <col customWidth="1" min="15" max="15" width="53.5"/>
    <col customWidth="1" min="16" max="16" width="31.88"/>
    <col customWidth="1" min="18" max="18" width="37.13"/>
    <col customWidth="1" min="19" max="19" width="27.13"/>
  </cols>
  <sheetData>
    <row r="1">
      <c r="A1" s="117" t="s">
        <v>2027</v>
      </c>
      <c r="B1" s="118" t="s">
        <v>1913</v>
      </c>
      <c r="C1" s="117" t="s">
        <v>2028</v>
      </c>
      <c r="D1" s="117" t="s">
        <v>2029</v>
      </c>
      <c r="E1" s="117" t="s">
        <v>2</v>
      </c>
      <c r="F1" s="117" t="s">
        <v>4</v>
      </c>
      <c r="G1" s="126" t="s">
        <v>5</v>
      </c>
      <c r="H1" s="117" t="s">
        <v>2031</v>
      </c>
      <c r="I1" s="117" t="s">
        <v>2032</v>
      </c>
      <c r="J1" s="117" t="s">
        <v>2033</v>
      </c>
      <c r="K1" s="117" t="s">
        <v>2034</v>
      </c>
      <c r="L1" s="117" t="s">
        <v>2035</v>
      </c>
      <c r="M1" s="117" t="s">
        <v>2036</v>
      </c>
      <c r="N1" s="117" t="s">
        <v>2037</v>
      </c>
      <c r="O1" s="117" t="s">
        <v>2038</v>
      </c>
      <c r="P1" s="117" t="s">
        <v>2039</v>
      </c>
      <c r="Q1" s="117" t="s">
        <v>2040</v>
      </c>
      <c r="R1" s="117" t="s">
        <v>2041</v>
      </c>
      <c r="S1" s="117" t="s">
        <v>2042</v>
      </c>
      <c r="T1" s="117" t="s">
        <v>2043</v>
      </c>
      <c r="U1" s="119" t="s">
        <v>2044</v>
      </c>
      <c r="V1" s="119" t="s">
        <v>2045</v>
      </c>
      <c r="W1" s="120" t="s">
        <v>2046</v>
      </c>
      <c r="X1" s="23"/>
      <c r="Y1" s="23"/>
      <c r="Z1" s="23"/>
      <c r="AA1" s="23"/>
      <c r="AB1" s="23"/>
      <c r="AC1" s="23"/>
      <c r="AD1" s="23"/>
      <c r="AE1" s="23"/>
    </row>
    <row r="2">
      <c r="A2" s="23" t="s">
        <v>2047</v>
      </c>
      <c r="B2" s="127">
        <v>21.0</v>
      </c>
      <c r="C2" s="23" t="s">
        <v>2134</v>
      </c>
      <c r="D2" s="122">
        <v>2024.0</v>
      </c>
      <c r="E2" s="23" t="s">
        <v>560</v>
      </c>
      <c r="F2" s="23" t="s">
        <v>600</v>
      </c>
      <c r="G2" s="111" t="s">
        <v>2050</v>
      </c>
      <c r="H2" s="113" t="s">
        <v>2135</v>
      </c>
      <c r="I2" s="114">
        <v>15.0</v>
      </c>
      <c r="J2" s="111" t="s">
        <v>2136</v>
      </c>
      <c r="K2" s="111" t="s">
        <v>2137</v>
      </c>
      <c r="L2" s="23"/>
      <c r="M2" s="23"/>
      <c r="N2" s="124">
        <v>9.0</v>
      </c>
      <c r="O2" s="111" t="s">
        <v>2138</v>
      </c>
      <c r="P2" s="111" t="s">
        <v>2139</v>
      </c>
      <c r="Q2" s="111" t="s">
        <v>2140</v>
      </c>
      <c r="R2" s="111" t="s">
        <v>2141</v>
      </c>
      <c r="S2" s="111" t="s">
        <v>37</v>
      </c>
      <c r="T2" s="111" t="s">
        <v>2142</v>
      </c>
      <c r="U2" s="23"/>
      <c r="V2" s="23"/>
      <c r="W2" s="23"/>
      <c r="X2" s="23"/>
      <c r="Y2" s="23"/>
      <c r="Z2" s="23"/>
      <c r="AA2" s="23"/>
      <c r="AB2" s="23"/>
      <c r="AC2" s="23"/>
      <c r="AD2" s="23"/>
      <c r="AE2" s="23"/>
    </row>
    <row r="3">
      <c r="A3" s="111" t="s">
        <v>2143</v>
      </c>
      <c r="B3" s="127">
        <v>30.0</v>
      </c>
      <c r="C3" s="23" t="s">
        <v>2134</v>
      </c>
      <c r="D3" s="122">
        <v>2024.0</v>
      </c>
      <c r="E3" s="23" t="s">
        <v>1848</v>
      </c>
      <c r="F3" s="23" t="s">
        <v>1850</v>
      </c>
      <c r="G3" s="111"/>
      <c r="H3" s="113" t="s">
        <v>2144</v>
      </c>
      <c r="I3" s="114">
        <v>33.0</v>
      </c>
      <c r="J3" s="111" t="s">
        <v>2145</v>
      </c>
      <c r="K3" s="111" t="s">
        <v>2146</v>
      </c>
      <c r="L3" s="128" t="s">
        <v>2147</v>
      </c>
      <c r="M3" s="128" t="s">
        <v>2148</v>
      </c>
      <c r="N3" s="124">
        <v>8.0</v>
      </c>
      <c r="O3" s="111" t="s">
        <v>2149</v>
      </c>
      <c r="P3" s="111" t="s">
        <v>2150</v>
      </c>
      <c r="Q3" s="111" t="s">
        <v>2151</v>
      </c>
      <c r="R3" s="111" t="s">
        <v>2152</v>
      </c>
      <c r="S3" s="111" t="s">
        <v>2153</v>
      </c>
      <c r="T3" s="111" t="s">
        <v>2154</v>
      </c>
      <c r="U3" s="23"/>
      <c r="V3" s="23"/>
      <c r="W3" s="23"/>
      <c r="X3" s="23"/>
      <c r="Y3" s="23"/>
      <c r="Z3" s="23"/>
      <c r="AA3" s="23"/>
      <c r="AB3" s="23"/>
      <c r="AC3" s="23"/>
      <c r="AD3" s="23"/>
      <c r="AE3" s="23"/>
    </row>
    <row r="4">
      <c r="A4" s="111" t="s">
        <v>2155</v>
      </c>
      <c r="B4" s="127">
        <v>11.0</v>
      </c>
      <c r="C4" s="23" t="s">
        <v>2156</v>
      </c>
      <c r="D4" s="122">
        <v>2024.0</v>
      </c>
      <c r="E4" s="23" t="s">
        <v>1639</v>
      </c>
      <c r="F4" s="23" t="s">
        <v>2157</v>
      </c>
      <c r="G4" s="111" t="s">
        <v>2158</v>
      </c>
      <c r="H4" s="113" t="s">
        <v>2159</v>
      </c>
      <c r="I4" s="114">
        <v>10.0</v>
      </c>
      <c r="J4" s="111" t="s">
        <v>2160</v>
      </c>
      <c r="K4" s="111" t="s">
        <v>2161</v>
      </c>
      <c r="L4" s="129" t="s">
        <v>2162</v>
      </c>
      <c r="M4" s="111" t="s">
        <v>2163</v>
      </c>
      <c r="N4" s="124">
        <v>7.0</v>
      </c>
      <c r="O4" s="111" t="s">
        <v>2164</v>
      </c>
      <c r="P4" s="111" t="s">
        <v>2165</v>
      </c>
      <c r="Q4" s="111" t="s">
        <v>2166</v>
      </c>
      <c r="R4" s="111" t="s">
        <v>2141</v>
      </c>
      <c r="S4" s="111" t="s">
        <v>2167</v>
      </c>
      <c r="T4" s="111" t="s">
        <v>2168</v>
      </c>
      <c r="U4" s="23"/>
      <c r="V4" s="23"/>
      <c r="W4" s="23"/>
      <c r="X4" s="130" t="s">
        <v>2169</v>
      </c>
      <c r="Y4" s="23"/>
      <c r="Z4" s="23"/>
      <c r="AA4" s="23"/>
      <c r="AB4" s="23"/>
      <c r="AC4" s="23"/>
      <c r="AD4" s="23"/>
      <c r="AE4" s="23"/>
    </row>
    <row r="5">
      <c r="A5" s="111" t="s">
        <v>2170</v>
      </c>
      <c r="B5" s="127">
        <v>30.0</v>
      </c>
      <c r="C5" s="111" t="s">
        <v>2171</v>
      </c>
      <c r="D5" s="114">
        <v>2025.0</v>
      </c>
      <c r="E5" s="111" t="s">
        <v>1864</v>
      </c>
      <c r="F5" s="111" t="s">
        <v>2172</v>
      </c>
      <c r="G5" s="111"/>
      <c r="H5" s="113" t="s">
        <v>2173</v>
      </c>
      <c r="I5" s="114">
        <v>14.0</v>
      </c>
      <c r="J5" s="111" t="s">
        <v>2174</v>
      </c>
      <c r="K5" s="111" t="s">
        <v>2175</v>
      </c>
      <c r="L5" s="111" t="s">
        <v>2176</v>
      </c>
      <c r="M5" s="111" t="s">
        <v>2177</v>
      </c>
      <c r="N5" s="124">
        <v>7.0</v>
      </c>
      <c r="O5" s="111" t="s">
        <v>2178</v>
      </c>
      <c r="P5" s="111" t="s">
        <v>2179</v>
      </c>
      <c r="Q5" s="111" t="s">
        <v>2180</v>
      </c>
      <c r="R5" s="111" t="s">
        <v>2152</v>
      </c>
      <c r="S5" s="111" t="s">
        <v>2181</v>
      </c>
      <c r="T5" s="111" t="s">
        <v>37</v>
      </c>
      <c r="U5" s="23"/>
      <c r="V5" s="23"/>
      <c r="W5" s="23"/>
      <c r="X5" s="23"/>
      <c r="Y5" s="23"/>
      <c r="Z5" s="23"/>
      <c r="AA5" s="23"/>
      <c r="AB5" s="23"/>
      <c r="AC5" s="23"/>
      <c r="AD5" s="23"/>
      <c r="AE5" s="23"/>
    </row>
    <row r="6">
      <c r="A6" s="111" t="s">
        <v>2182</v>
      </c>
      <c r="B6" s="127">
        <v>4.0</v>
      </c>
      <c r="C6" s="111" t="s">
        <v>2183</v>
      </c>
      <c r="D6" s="114">
        <v>2025.0</v>
      </c>
      <c r="E6" s="111" t="s">
        <v>971</v>
      </c>
      <c r="F6" s="111" t="s">
        <v>2184</v>
      </c>
      <c r="G6" s="111" t="s">
        <v>2185</v>
      </c>
      <c r="H6" s="111" t="s">
        <v>2186</v>
      </c>
      <c r="I6" s="23"/>
      <c r="J6" s="23"/>
      <c r="K6" s="111" t="s">
        <v>2187</v>
      </c>
      <c r="L6" s="111" t="s">
        <v>2188</v>
      </c>
      <c r="M6" s="111" t="s">
        <v>2189</v>
      </c>
      <c r="N6" s="124">
        <v>9.0</v>
      </c>
      <c r="O6" s="111" t="s">
        <v>2190</v>
      </c>
      <c r="P6" s="111" t="s">
        <v>2191</v>
      </c>
      <c r="Q6" s="23"/>
      <c r="R6" s="111" t="s">
        <v>2192</v>
      </c>
      <c r="S6" s="111" t="s">
        <v>2193</v>
      </c>
      <c r="T6" s="23"/>
      <c r="U6" s="23"/>
      <c r="V6" s="23"/>
      <c r="W6" s="23"/>
      <c r="X6" s="23"/>
      <c r="Y6" s="23"/>
      <c r="Z6" s="23"/>
      <c r="AA6" s="23"/>
      <c r="AB6" s="23"/>
      <c r="AC6" s="23"/>
      <c r="AD6" s="23"/>
      <c r="AE6" s="23"/>
    </row>
    <row r="7">
      <c r="A7" s="111" t="s">
        <v>2194</v>
      </c>
      <c r="B7" s="121"/>
      <c r="C7" s="111" t="s">
        <v>2183</v>
      </c>
      <c r="D7" s="114">
        <v>2025.0</v>
      </c>
      <c r="E7" s="111" t="s">
        <v>971</v>
      </c>
      <c r="F7" s="111" t="s">
        <v>2184</v>
      </c>
      <c r="G7" s="111" t="s">
        <v>2195</v>
      </c>
      <c r="H7" s="113" t="s">
        <v>2196</v>
      </c>
      <c r="I7" s="114">
        <v>5.0</v>
      </c>
      <c r="J7" s="111" t="s">
        <v>2197</v>
      </c>
      <c r="K7" s="111" t="s">
        <v>2198</v>
      </c>
      <c r="L7" s="23"/>
      <c r="M7" s="23"/>
      <c r="N7" s="124">
        <v>6.0</v>
      </c>
      <c r="O7" s="111" t="s">
        <v>2199</v>
      </c>
      <c r="P7" s="111" t="s">
        <v>2200</v>
      </c>
      <c r="Q7" s="23"/>
      <c r="R7" s="111" t="s">
        <v>2201</v>
      </c>
      <c r="S7" s="23"/>
      <c r="T7" s="23"/>
      <c r="U7" s="23"/>
      <c r="V7" s="23"/>
      <c r="W7" s="23"/>
      <c r="X7" s="23"/>
      <c r="Y7" s="23"/>
      <c r="Z7" s="23"/>
      <c r="AA7" s="23"/>
      <c r="AB7" s="23"/>
      <c r="AC7" s="23"/>
      <c r="AD7" s="23"/>
      <c r="AE7" s="23"/>
    </row>
    <row r="8">
      <c r="A8" s="111" t="s">
        <v>2202</v>
      </c>
      <c r="B8" s="125">
        <v>10.0</v>
      </c>
      <c r="C8" s="111" t="s">
        <v>2203</v>
      </c>
      <c r="D8" s="114">
        <v>2025.0</v>
      </c>
      <c r="E8" s="111" t="s">
        <v>1657</v>
      </c>
      <c r="F8" s="111" t="s">
        <v>1674</v>
      </c>
      <c r="G8" s="111" t="s">
        <v>2204</v>
      </c>
      <c r="H8" s="113" t="s">
        <v>2205</v>
      </c>
      <c r="I8" s="114">
        <v>3.0</v>
      </c>
      <c r="J8" s="111" t="s">
        <v>2206</v>
      </c>
      <c r="K8" s="111" t="s">
        <v>2198</v>
      </c>
      <c r="L8" s="23"/>
      <c r="M8" s="23"/>
      <c r="N8" s="124">
        <v>1.0</v>
      </c>
      <c r="O8" s="111" t="s">
        <v>2207</v>
      </c>
      <c r="P8" s="111" t="s">
        <v>2208</v>
      </c>
      <c r="Q8" s="23"/>
      <c r="R8" s="111" t="s">
        <v>2209</v>
      </c>
      <c r="S8" s="23"/>
      <c r="T8" s="23"/>
      <c r="U8" s="23"/>
      <c r="V8" s="23"/>
      <c r="W8" s="23"/>
      <c r="X8" s="23"/>
      <c r="Y8" s="23"/>
      <c r="Z8" s="23"/>
      <c r="AA8" s="23"/>
      <c r="AB8" s="23"/>
      <c r="AC8" s="23"/>
      <c r="AD8" s="23"/>
      <c r="AE8" s="23"/>
    </row>
    <row r="9">
      <c r="A9" s="111" t="s">
        <v>2210</v>
      </c>
      <c r="B9" s="125">
        <v>11.0</v>
      </c>
      <c r="C9" s="111" t="s">
        <v>2203</v>
      </c>
      <c r="D9" s="114">
        <v>2025.0</v>
      </c>
      <c r="E9" s="111" t="s">
        <v>1864</v>
      </c>
      <c r="F9" s="111" t="s">
        <v>1866</v>
      </c>
      <c r="G9" s="111" t="s">
        <v>2211</v>
      </c>
      <c r="H9" s="113" t="s">
        <v>2205</v>
      </c>
      <c r="I9" s="114">
        <v>9.0</v>
      </c>
      <c r="J9" s="111" t="s">
        <v>2212</v>
      </c>
      <c r="K9" s="111" t="s">
        <v>2213</v>
      </c>
      <c r="L9" s="23"/>
      <c r="M9" s="23"/>
      <c r="N9" s="124">
        <v>8.0</v>
      </c>
      <c r="O9" s="111" t="s">
        <v>2214</v>
      </c>
      <c r="P9" s="111" t="s">
        <v>2215</v>
      </c>
      <c r="Q9" s="111" t="s">
        <v>2216</v>
      </c>
      <c r="R9" s="111" t="s">
        <v>2217</v>
      </c>
      <c r="S9" s="23"/>
      <c r="T9" s="23"/>
      <c r="U9" s="23"/>
      <c r="V9" s="23"/>
      <c r="W9" s="23"/>
      <c r="X9" s="23"/>
      <c r="Y9" s="23"/>
      <c r="Z9" s="23"/>
      <c r="AA9" s="23"/>
      <c r="AB9" s="23"/>
      <c r="AC9" s="23"/>
      <c r="AD9" s="23"/>
      <c r="AE9" s="23"/>
    </row>
    <row r="10">
      <c r="A10" s="23" t="s">
        <v>2218</v>
      </c>
      <c r="B10" s="125">
        <v>12.0</v>
      </c>
      <c r="C10" s="111" t="s">
        <v>2203</v>
      </c>
      <c r="D10" s="114">
        <v>2025.0</v>
      </c>
      <c r="E10" s="111" t="s">
        <v>560</v>
      </c>
      <c r="F10" s="111" t="s">
        <v>600</v>
      </c>
      <c r="G10" s="111" t="s">
        <v>2219</v>
      </c>
      <c r="H10" s="113" t="s">
        <v>2205</v>
      </c>
      <c r="I10" s="114">
        <v>1.0</v>
      </c>
      <c r="J10" s="23"/>
      <c r="K10" s="111" t="s">
        <v>2198</v>
      </c>
      <c r="L10" s="23"/>
      <c r="M10" s="23"/>
      <c r="N10" s="124">
        <v>4.0</v>
      </c>
      <c r="O10" s="111" t="s">
        <v>2220</v>
      </c>
      <c r="P10" s="111" t="s">
        <v>2221</v>
      </c>
      <c r="Q10" s="23"/>
      <c r="R10" s="111" t="s">
        <v>2222</v>
      </c>
      <c r="S10" s="23"/>
      <c r="T10" s="23"/>
      <c r="U10" s="23"/>
      <c r="V10" s="23"/>
      <c r="W10" s="23"/>
      <c r="X10" s="23"/>
      <c r="Y10" s="23"/>
      <c r="Z10" s="23"/>
      <c r="AA10" s="23"/>
      <c r="AB10" s="23"/>
      <c r="AC10" s="23"/>
      <c r="AD10" s="23"/>
      <c r="AE10" s="23"/>
    </row>
    <row r="11">
      <c r="A11" s="23" t="s">
        <v>2223</v>
      </c>
      <c r="B11" s="125">
        <v>13.0</v>
      </c>
      <c r="C11" s="111" t="s">
        <v>2203</v>
      </c>
      <c r="D11" s="114">
        <v>2025.0</v>
      </c>
      <c r="E11" s="111" t="s">
        <v>1864</v>
      </c>
      <c r="F11" s="111" t="s">
        <v>2224</v>
      </c>
      <c r="G11" s="111" t="s">
        <v>2225</v>
      </c>
      <c r="H11" s="113" t="s">
        <v>2205</v>
      </c>
      <c r="I11" s="114">
        <v>7.0</v>
      </c>
      <c r="J11" s="111" t="s">
        <v>2226</v>
      </c>
      <c r="K11" s="111" t="s">
        <v>2198</v>
      </c>
      <c r="L11" s="23"/>
      <c r="M11" s="23"/>
      <c r="N11" s="124">
        <v>8.0</v>
      </c>
      <c r="O11" s="111" t="s">
        <v>2227</v>
      </c>
      <c r="P11" s="111" t="s">
        <v>2228</v>
      </c>
      <c r="Q11" s="111" t="s">
        <v>2229</v>
      </c>
      <c r="R11" s="111" t="s">
        <v>2230</v>
      </c>
      <c r="S11" s="23"/>
      <c r="T11" s="23"/>
      <c r="U11" s="23"/>
      <c r="V11" s="23"/>
      <c r="W11" s="23"/>
      <c r="X11" s="23"/>
      <c r="Y11" s="23"/>
      <c r="Z11" s="23"/>
      <c r="AA11" s="23"/>
      <c r="AB11" s="23"/>
      <c r="AC11" s="23"/>
      <c r="AD11" s="23"/>
      <c r="AE11" s="23"/>
    </row>
    <row r="12">
      <c r="A12" s="111" t="s">
        <v>2231</v>
      </c>
      <c r="B12" s="127">
        <v>26.0</v>
      </c>
      <c r="C12" s="111" t="s">
        <v>2203</v>
      </c>
      <c r="D12" s="114">
        <v>2025.0</v>
      </c>
      <c r="E12" s="111" t="s">
        <v>2232</v>
      </c>
      <c r="F12" s="111" t="s">
        <v>2232</v>
      </c>
      <c r="G12" s="111"/>
      <c r="H12" s="113" t="s">
        <v>2233</v>
      </c>
      <c r="I12" s="114">
        <v>7.0</v>
      </c>
      <c r="J12" s="23"/>
      <c r="K12" s="111" t="s">
        <v>2234</v>
      </c>
      <c r="L12" s="23"/>
      <c r="M12" s="23"/>
      <c r="N12" s="124">
        <v>4.0</v>
      </c>
      <c r="O12" s="111" t="s">
        <v>2235</v>
      </c>
      <c r="P12" s="111" t="s">
        <v>2236</v>
      </c>
      <c r="Q12" s="23"/>
      <c r="R12" s="111" t="s">
        <v>2234</v>
      </c>
      <c r="S12" s="23"/>
      <c r="T12" s="23" t="s">
        <v>2186</v>
      </c>
      <c r="U12" s="23"/>
      <c r="V12" s="23"/>
      <c r="W12" s="23"/>
      <c r="X12" s="23"/>
      <c r="Y12" s="23"/>
      <c r="Z12" s="23"/>
      <c r="AA12" s="23"/>
      <c r="AB12" s="23"/>
      <c r="AC12" s="23"/>
      <c r="AD12" s="23"/>
      <c r="AE12" s="23"/>
    </row>
    <row r="13">
      <c r="A13" s="23" t="s">
        <v>2237</v>
      </c>
      <c r="B13" s="127">
        <v>27.0</v>
      </c>
      <c r="C13" s="111" t="s">
        <v>2203</v>
      </c>
      <c r="D13" s="114">
        <v>2025.0</v>
      </c>
      <c r="E13" s="111" t="s">
        <v>823</v>
      </c>
      <c r="F13" s="111" t="s">
        <v>825</v>
      </c>
      <c r="G13" s="111"/>
      <c r="H13" s="113" t="s">
        <v>2238</v>
      </c>
      <c r="I13" s="114">
        <v>4.0</v>
      </c>
      <c r="J13" s="111" t="s">
        <v>2239</v>
      </c>
      <c r="K13" s="111" t="s">
        <v>2240</v>
      </c>
      <c r="L13" s="23"/>
      <c r="M13" s="23"/>
      <c r="N13" s="124">
        <v>6.0</v>
      </c>
      <c r="O13" s="111" t="s">
        <v>2241</v>
      </c>
      <c r="P13" s="111" t="s">
        <v>2242</v>
      </c>
      <c r="Q13" s="111" t="s">
        <v>2243</v>
      </c>
      <c r="R13" s="111" t="s">
        <v>2244</v>
      </c>
      <c r="S13" s="23"/>
      <c r="T13" s="23" t="s">
        <v>566</v>
      </c>
      <c r="U13" s="23"/>
      <c r="V13" s="23"/>
      <c r="W13" s="23"/>
      <c r="X13" s="23"/>
      <c r="Y13" s="23"/>
      <c r="Z13" s="23"/>
      <c r="AA13" s="23"/>
      <c r="AB13" s="23"/>
      <c r="AC13" s="23"/>
      <c r="AD13" s="23"/>
      <c r="AE13" s="23"/>
    </row>
    <row r="14">
      <c r="A14" s="111" t="s">
        <v>2245</v>
      </c>
      <c r="B14" s="127">
        <v>28.0</v>
      </c>
      <c r="C14" s="111" t="s">
        <v>2203</v>
      </c>
      <c r="D14" s="114">
        <v>2025.0</v>
      </c>
      <c r="E14" s="111" t="s">
        <v>1864</v>
      </c>
      <c r="F14" s="111" t="s">
        <v>1866</v>
      </c>
      <c r="G14" s="111"/>
      <c r="H14" s="113" t="s">
        <v>2238</v>
      </c>
      <c r="I14" s="114">
        <v>4.0</v>
      </c>
      <c r="J14" s="23"/>
      <c r="K14" s="111" t="s">
        <v>2198</v>
      </c>
      <c r="L14" s="23"/>
      <c r="M14" s="23"/>
      <c r="N14" s="124">
        <v>8.0</v>
      </c>
      <c r="O14" s="111" t="s">
        <v>2246</v>
      </c>
      <c r="P14" s="111" t="s">
        <v>2247</v>
      </c>
      <c r="Q14" s="23"/>
      <c r="R14" s="111" t="s">
        <v>2248</v>
      </c>
      <c r="S14" s="23"/>
      <c r="T14" s="23"/>
      <c r="U14" s="23"/>
      <c r="V14" s="23"/>
      <c r="W14" s="23"/>
      <c r="X14" s="23"/>
      <c r="Y14" s="23"/>
      <c r="Z14" s="23"/>
      <c r="AA14" s="23"/>
      <c r="AB14" s="23"/>
      <c r="AC14" s="23"/>
      <c r="AD14" s="23"/>
      <c r="AE14" s="23"/>
    </row>
    <row r="15">
      <c r="A15" s="111" t="s">
        <v>2245</v>
      </c>
      <c r="B15" s="127">
        <v>31.0</v>
      </c>
      <c r="C15" s="111" t="s">
        <v>2203</v>
      </c>
      <c r="D15" s="114">
        <v>2025.0</v>
      </c>
      <c r="E15" s="23" t="s">
        <v>560</v>
      </c>
      <c r="F15" s="111" t="s">
        <v>600</v>
      </c>
      <c r="G15" s="111" t="s">
        <v>2249</v>
      </c>
      <c r="H15" s="113" t="s">
        <v>2238</v>
      </c>
      <c r="I15" s="114">
        <v>0.0</v>
      </c>
      <c r="J15" s="23"/>
      <c r="K15" s="111" t="s">
        <v>2198</v>
      </c>
      <c r="L15" s="23"/>
      <c r="M15" s="23"/>
      <c r="N15" s="124">
        <v>6.0</v>
      </c>
      <c r="O15" s="111" t="s">
        <v>2250</v>
      </c>
      <c r="P15" s="111" t="s">
        <v>2251</v>
      </c>
      <c r="Q15" s="23"/>
      <c r="R15" s="111" t="s">
        <v>2252</v>
      </c>
      <c r="S15" s="23"/>
      <c r="T15" s="23" t="s">
        <v>50</v>
      </c>
      <c r="U15" s="23"/>
      <c r="V15" s="23"/>
      <c r="W15" s="23"/>
      <c r="X15" s="23"/>
      <c r="Y15" s="23"/>
      <c r="Z15" s="23"/>
      <c r="AA15" s="23"/>
      <c r="AB15" s="23"/>
      <c r="AC15" s="23"/>
      <c r="AD15" s="23"/>
      <c r="AE15" s="23"/>
    </row>
    <row r="16">
      <c r="A16" s="111" t="s">
        <v>2253</v>
      </c>
      <c r="B16" s="127">
        <v>8.0</v>
      </c>
      <c r="C16" s="23" t="s">
        <v>2254</v>
      </c>
      <c r="D16" s="122">
        <v>2025.0</v>
      </c>
      <c r="E16" s="23" t="s">
        <v>1553</v>
      </c>
      <c r="F16" s="111" t="s">
        <v>2255</v>
      </c>
      <c r="G16" s="111" t="s">
        <v>2256</v>
      </c>
      <c r="H16" s="113" t="s">
        <v>2257</v>
      </c>
      <c r="I16" s="114">
        <v>4.0</v>
      </c>
      <c r="J16" s="23"/>
      <c r="K16" s="111" t="s">
        <v>2258</v>
      </c>
      <c r="L16" s="23"/>
      <c r="M16" s="23"/>
      <c r="N16" s="124">
        <v>8.0</v>
      </c>
      <c r="O16" s="111" t="s">
        <v>2259</v>
      </c>
      <c r="P16" s="111" t="s">
        <v>2260</v>
      </c>
      <c r="Q16" s="23"/>
      <c r="R16" s="111" t="s">
        <v>2261</v>
      </c>
      <c r="S16" s="111" t="s">
        <v>2262</v>
      </c>
      <c r="T16" s="23" t="s">
        <v>566</v>
      </c>
      <c r="U16" s="23"/>
      <c r="V16" s="23"/>
      <c r="W16" s="23"/>
      <c r="X16" s="23"/>
      <c r="Y16" s="23"/>
      <c r="Z16" s="23"/>
      <c r="AA16" s="23"/>
      <c r="AB16" s="23"/>
      <c r="AC16" s="23"/>
      <c r="AD16" s="23"/>
      <c r="AE16" s="23"/>
    </row>
    <row r="17">
      <c r="A17" s="111" t="s">
        <v>2263</v>
      </c>
      <c r="B17" s="127">
        <v>10.0</v>
      </c>
      <c r="C17" s="23" t="s">
        <v>2254</v>
      </c>
      <c r="D17" s="122">
        <v>2025.0</v>
      </c>
      <c r="E17" s="23" t="s">
        <v>1848</v>
      </c>
      <c r="F17" s="111" t="s">
        <v>2264</v>
      </c>
      <c r="G17" s="111"/>
      <c r="H17" s="113" t="s">
        <v>2265</v>
      </c>
      <c r="I17" s="114">
        <v>6.0</v>
      </c>
      <c r="J17" s="23"/>
      <c r="K17" s="111" t="s">
        <v>2266</v>
      </c>
      <c r="L17" s="23"/>
      <c r="M17" s="23"/>
      <c r="N17" s="124">
        <v>9.0</v>
      </c>
      <c r="O17" s="111" t="s">
        <v>2267</v>
      </c>
      <c r="P17" s="111" t="s">
        <v>2268</v>
      </c>
      <c r="Q17" s="23"/>
      <c r="R17" s="111" t="s">
        <v>2269</v>
      </c>
      <c r="S17" s="23"/>
      <c r="T17" s="23" t="s">
        <v>2270</v>
      </c>
      <c r="U17" s="23"/>
      <c r="V17" s="23"/>
      <c r="W17" s="23"/>
      <c r="X17" s="23"/>
      <c r="Y17" s="23"/>
      <c r="Z17" s="23"/>
      <c r="AA17" s="23"/>
      <c r="AB17" s="23"/>
      <c r="AC17" s="23"/>
      <c r="AD17" s="23"/>
      <c r="AE17" s="23"/>
    </row>
    <row r="18">
      <c r="A18" s="111" t="s">
        <v>2271</v>
      </c>
      <c r="B18" s="127">
        <v>11.0</v>
      </c>
      <c r="C18" s="23" t="s">
        <v>2254</v>
      </c>
      <c r="D18" s="122">
        <v>2025.0</v>
      </c>
      <c r="E18" s="23" t="s">
        <v>1553</v>
      </c>
      <c r="F18" s="111" t="s">
        <v>2272</v>
      </c>
      <c r="G18" s="111" t="s">
        <v>2273</v>
      </c>
      <c r="H18" s="111" t="s">
        <v>2274</v>
      </c>
      <c r="I18" s="23"/>
      <c r="J18" s="23"/>
      <c r="K18" s="23"/>
      <c r="L18" s="23"/>
      <c r="M18" s="23"/>
      <c r="N18" s="124">
        <v>3.0</v>
      </c>
      <c r="O18" s="111" t="s">
        <v>2275</v>
      </c>
      <c r="P18" s="111" t="s">
        <v>2276</v>
      </c>
      <c r="Q18" s="23"/>
      <c r="R18" s="111" t="s">
        <v>2277</v>
      </c>
      <c r="S18" s="23"/>
      <c r="T18" s="23" t="s">
        <v>2270</v>
      </c>
      <c r="U18" s="23"/>
      <c r="V18" s="23"/>
      <c r="W18" s="23"/>
      <c r="X18" s="23"/>
      <c r="Y18" s="23"/>
      <c r="Z18" s="23"/>
      <c r="AA18" s="23"/>
      <c r="AB18" s="23"/>
      <c r="AC18" s="23"/>
      <c r="AD18" s="23"/>
      <c r="AE18" s="23"/>
    </row>
    <row r="19">
      <c r="A19" s="111" t="s">
        <v>2278</v>
      </c>
      <c r="B19" s="121"/>
      <c r="C19" s="23" t="s">
        <v>2254</v>
      </c>
      <c r="D19" s="122">
        <v>2025.0</v>
      </c>
      <c r="E19" s="23" t="s">
        <v>1553</v>
      </c>
      <c r="F19" s="23" t="s">
        <v>2279</v>
      </c>
      <c r="G19" s="111"/>
      <c r="H19" s="111" t="s">
        <v>2274</v>
      </c>
      <c r="I19" s="23"/>
      <c r="J19" s="23"/>
      <c r="K19" s="23"/>
      <c r="L19" s="23"/>
      <c r="M19" s="23"/>
      <c r="N19" s="131">
        <v>4.0</v>
      </c>
      <c r="O19" s="111" t="s">
        <v>2280</v>
      </c>
      <c r="P19" s="23"/>
      <c r="Q19" s="23"/>
      <c r="R19" s="111" t="s">
        <v>2281</v>
      </c>
      <c r="S19" s="23"/>
      <c r="T19" s="23" t="s">
        <v>50</v>
      </c>
      <c r="U19" s="23"/>
      <c r="V19" s="23"/>
      <c r="W19" s="23"/>
      <c r="X19" s="23"/>
      <c r="Y19" s="23"/>
      <c r="Z19" s="23"/>
      <c r="AA19" s="23"/>
      <c r="AB19" s="23"/>
      <c r="AC19" s="23"/>
      <c r="AD19" s="23"/>
      <c r="AE19" s="23"/>
    </row>
    <row r="20">
      <c r="A20" s="111" t="s">
        <v>2282</v>
      </c>
      <c r="B20" s="122">
        <v>12.0</v>
      </c>
      <c r="C20" s="23" t="s">
        <v>2283</v>
      </c>
      <c r="D20" s="122">
        <v>2025.0</v>
      </c>
      <c r="E20" s="23" t="s">
        <v>278</v>
      </c>
      <c r="F20" s="111" t="s">
        <v>314</v>
      </c>
      <c r="G20" s="111" t="s">
        <v>2284</v>
      </c>
      <c r="H20" s="113" t="s">
        <v>2285</v>
      </c>
      <c r="I20" s="114">
        <v>4.0</v>
      </c>
      <c r="J20" s="111" t="s">
        <v>2286</v>
      </c>
      <c r="K20" s="23"/>
      <c r="L20" s="23"/>
      <c r="M20" s="23"/>
      <c r="N20" s="131">
        <v>7.0</v>
      </c>
      <c r="O20" s="23" t="s">
        <v>2287</v>
      </c>
      <c r="P20" s="111" t="s">
        <v>2288</v>
      </c>
      <c r="Q20" s="23"/>
      <c r="R20" s="111" t="s">
        <v>2289</v>
      </c>
      <c r="S20" s="23"/>
      <c r="T20" s="23"/>
      <c r="U20" s="23"/>
      <c r="V20" s="23"/>
      <c r="W20" s="23"/>
      <c r="X20" s="23"/>
      <c r="Y20" s="23"/>
      <c r="Z20" s="23"/>
      <c r="AA20" s="23"/>
      <c r="AB20" s="23"/>
      <c r="AC20" s="23"/>
      <c r="AD20" s="23"/>
      <c r="AE20" s="23"/>
    </row>
    <row r="21">
      <c r="A21" s="111" t="s">
        <v>2290</v>
      </c>
      <c r="B21" s="122">
        <v>12.0</v>
      </c>
      <c r="C21" s="23" t="s">
        <v>2283</v>
      </c>
      <c r="D21" s="122">
        <v>2025.0</v>
      </c>
      <c r="E21" s="23" t="s">
        <v>2291</v>
      </c>
      <c r="F21" s="23" t="s">
        <v>296</v>
      </c>
      <c r="G21" s="111" t="s">
        <v>2292</v>
      </c>
      <c r="H21" s="132" t="s">
        <v>2285</v>
      </c>
      <c r="I21" s="122">
        <v>4.0</v>
      </c>
      <c r="J21" s="111" t="s">
        <v>2293</v>
      </c>
      <c r="K21" s="23"/>
      <c r="L21" s="23"/>
      <c r="M21" s="23"/>
      <c r="N21" s="131">
        <v>7.0</v>
      </c>
      <c r="O21" s="111" t="s">
        <v>2294</v>
      </c>
      <c r="P21" s="111" t="s">
        <v>2295</v>
      </c>
      <c r="Q21" s="111" t="s">
        <v>2296</v>
      </c>
      <c r="R21" s="111" t="s">
        <v>2289</v>
      </c>
      <c r="S21" s="23"/>
      <c r="T21" s="23" t="s">
        <v>2297</v>
      </c>
      <c r="U21" s="23"/>
      <c r="V21" s="23"/>
      <c r="W21" s="23"/>
      <c r="X21" s="23"/>
      <c r="Y21" s="23"/>
      <c r="Z21" s="23"/>
      <c r="AA21" s="23"/>
      <c r="AB21" s="23"/>
      <c r="AC21" s="23"/>
      <c r="AD21" s="23"/>
      <c r="AE21" s="23"/>
    </row>
    <row r="22">
      <c r="A22" s="111" t="s">
        <v>2298</v>
      </c>
      <c r="B22" s="122">
        <v>19.0</v>
      </c>
      <c r="C22" s="23" t="s">
        <v>2283</v>
      </c>
      <c r="D22" s="122">
        <v>2025.0</v>
      </c>
      <c r="E22" s="23" t="s">
        <v>2058</v>
      </c>
      <c r="F22" s="23" t="s">
        <v>2299</v>
      </c>
      <c r="G22" s="133" t="s">
        <v>2300</v>
      </c>
      <c r="H22" s="132" t="s">
        <v>2257</v>
      </c>
      <c r="I22" s="122">
        <v>13.0</v>
      </c>
      <c r="J22" s="111" t="s">
        <v>2301</v>
      </c>
      <c r="K22" s="111" t="s">
        <v>2302</v>
      </c>
      <c r="L22" s="23"/>
      <c r="M22" s="23"/>
      <c r="N22" s="131">
        <v>9.0</v>
      </c>
      <c r="O22" s="111" t="s">
        <v>2303</v>
      </c>
      <c r="P22" s="111" t="s">
        <v>2304</v>
      </c>
      <c r="Q22" s="111" t="s">
        <v>2305</v>
      </c>
      <c r="R22" s="111" t="s">
        <v>2306</v>
      </c>
      <c r="S22" s="23"/>
      <c r="T22" s="23"/>
      <c r="U22" s="23"/>
      <c r="V22" s="23"/>
      <c r="W22" s="23"/>
      <c r="X22" s="23"/>
      <c r="Y22" s="23"/>
      <c r="Z22" s="23"/>
      <c r="AA22" s="23"/>
      <c r="AB22" s="23"/>
      <c r="AC22" s="23"/>
      <c r="AD22" s="23"/>
      <c r="AE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row>
  </sheetData>
  <dataValidations>
    <dataValidation type="list" allowBlank="1" showErrorMessage="1" sqref="T5 T13 T16:T18">
      <formula1>"Yes,Not yet,No need to follow up"</formula1>
    </dataValidation>
  </dataValidations>
  <hyperlinks>
    <hyperlink r:id="rId1" location="gid=0" ref="H2"/>
    <hyperlink r:id="rId2" location="gid=0" ref="H3"/>
    <hyperlink r:id="rId3" location="gid=0" ref="H4"/>
    <hyperlink r:id="rId4" ref="L4"/>
    <hyperlink r:id="rId5" ref="X4"/>
    <hyperlink r:id="rId6" location="gid=0" ref="H5"/>
    <hyperlink r:id="rId7" location="gid=0" ref="H7"/>
    <hyperlink r:id="rId8" location="gid=0" ref="H8"/>
    <hyperlink r:id="rId9" location="gid=0" ref="H9"/>
    <hyperlink r:id="rId10" location="gid=0" ref="H10"/>
    <hyperlink r:id="rId11" location="gid=0" ref="H11"/>
    <hyperlink r:id="rId12" location="gid=0" ref="H12"/>
    <hyperlink r:id="rId13" location="gid=0" ref="H13"/>
    <hyperlink r:id="rId14" location="gid=0" ref="H14"/>
    <hyperlink r:id="rId15" location="gid=0" ref="H15"/>
    <hyperlink r:id="rId16" location="gid=0" ref="H16"/>
    <hyperlink r:id="rId17" location="gid=0" ref="H17"/>
    <hyperlink r:id="rId18" location="gid=0" ref="H20"/>
    <hyperlink r:id="rId19" location="gid=0" ref="H21"/>
    <hyperlink r:id="rId20" location="gid=0" ref="H22"/>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2307</v>
      </c>
      <c r="B1" s="23" t="s">
        <v>2308</v>
      </c>
      <c r="C1" s="23" t="s">
        <v>2309</v>
      </c>
      <c r="D1" s="23" t="s">
        <v>2310</v>
      </c>
      <c r="E1" s="23" t="s">
        <v>2311</v>
      </c>
      <c r="F1" s="23" t="s">
        <v>2312</v>
      </c>
      <c r="G1" s="23"/>
      <c r="H1" s="23"/>
      <c r="I1" s="23"/>
      <c r="J1" s="23"/>
      <c r="K1" s="23"/>
      <c r="L1" s="23"/>
      <c r="M1" s="23"/>
      <c r="N1" s="23"/>
      <c r="O1" s="23"/>
      <c r="P1" s="23"/>
      <c r="Q1" s="23"/>
      <c r="R1" s="23"/>
      <c r="S1" s="23"/>
      <c r="T1" s="23"/>
      <c r="U1" s="23"/>
      <c r="V1" s="23"/>
      <c r="W1" s="23"/>
      <c r="X1" s="23"/>
      <c r="Y1" s="23"/>
      <c r="Z1" s="23"/>
      <c r="AI1" s="104" t="s">
        <v>2313</v>
      </c>
      <c r="AJ1" s="104" t="s">
        <v>2314</v>
      </c>
      <c r="AK1" s="104" t="s">
        <v>2315</v>
      </c>
      <c r="AL1" s="104" t="s">
        <v>2316</v>
      </c>
      <c r="AM1" s="104" t="s">
        <v>2317</v>
      </c>
      <c r="AN1" s="104" t="s">
        <v>2318</v>
      </c>
      <c r="AO1" s="104" t="s">
        <v>2319</v>
      </c>
      <c r="AP1" s="104" t="s">
        <v>2320</v>
      </c>
      <c r="AQ1" s="104" t="s">
        <v>2321</v>
      </c>
      <c r="AR1" s="104" t="s">
        <v>2322</v>
      </c>
      <c r="AS1" s="104" t="s">
        <v>2323</v>
      </c>
      <c r="AT1" s="104" t="s">
        <v>2324</v>
      </c>
      <c r="AU1" s="104" t="s">
        <v>2325</v>
      </c>
      <c r="AV1" s="104" t="s">
        <v>2326</v>
      </c>
      <c r="AW1" s="104" t="s">
        <v>2327</v>
      </c>
      <c r="AX1" s="104" t="s">
        <v>2328</v>
      </c>
      <c r="AY1" s="104" t="s">
        <v>2329</v>
      </c>
      <c r="AZ1" s="104" t="s">
        <v>2330</v>
      </c>
      <c r="BA1" s="104" t="s">
        <v>2327</v>
      </c>
      <c r="BB1" s="104" t="s">
        <v>2331</v>
      </c>
      <c r="BC1" s="104" t="s">
        <v>2332</v>
      </c>
      <c r="BD1" s="104" t="s">
        <v>2333</v>
      </c>
      <c r="BE1" s="104" t="s">
        <v>2323</v>
      </c>
      <c r="BF1" s="104" t="s">
        <v>2334</v>
      </c>
      <c r="BG1" s="104" t="s">
        <v>2335</v>
      </c>
      <c r="BH1" s="104" t="s">
        <v>2336</v>
      </c>
      <c r="BI1" s="104" t="s">
        <v>2337</v>
      </c>
      <c r="BJ1" s="104" t="s">
        <v>2338</v>
      </c>
      <c r="BK1" s="104" t="s">
        <v>2339</v>
      </c>
      <c r="BL1" s="104" t="s">
        <v>2340</v>
      </c>
      <c r="BM1" s="104" t="s">
        <v>2341</v>
      </c>
      <c r="BN1" s="104" t="s">
        <v>2342</v>
      </c>
      <c r="BO1" s="104" t="s">
        <v>2313</v>
      </c>
      <c r="BP1" s="104" t="s">
        <v>2343</v>
      </c>
      <c r="BQ1" s="104" t="s">
        <v>2344</v>
      </c>
      <c r="BR1" s="104" t="s">
        <v>2345</v>
      </c>
      <c r="BS1" s="104" t="s">
        <v>2346</v>
      </c>
      <c r="BT1" s="104" t="s">
        <v>2314</v>
      </c>
      <c r="BU1" s="104" t="s">
        <v>2347</v>
      </c>
      <c r="BV1" s="104" t="s">
        <v>2348</v>
      </c>
      <c r="BW1" s="104" t="s">
        <v>2349</v>
      </c>
      <c r="BX1" s="104" t="s">
        <v>2350</v>
      </c>
      <c r="BY1" s="104" t="s">
        <v>2351</v>
      </c>
      <c r="BZ1" s="104" t="s">
        <v>2352</v>
      </c>
      <c r="CA1" s="104" t="s">
        <v>2353</v>
      </c>
      <c r="CB1" s="104" t="s">
        <v>2343</v>
      </c>
      <c r="CC1" s="104" t="s">
        <v>2354</v>
      </c>
      <c r="CD1" s="104" t="s">
        <v>2355</v>
      </c>
      <c r="CE1" s="104" t="s">
        <v>2356</v>
      </c>
      <c r="CF1" s="104" t="s">
        <v>2357</v>
      </c>
      <c r="CG1" s="104" t="s">
        <v>2358</v>
      </c>
      <c r="CH1" s="104" t="s">
        <v>2075</v>
      </c>
      <c r="CI1" s="104" t="s">
        <v>2322</v>
      </c>
      <c r="CJ1" s="104" t="s">
        <v>2359</v>
      </c>
      <c r="CK1" s="104" t="s">
        <v>2360</v>
      </c>
      <c r="CL1" s="104" t="s">
        <v>2361</v>
      </c>
      <c r="CM1" s="104" t="s">
        <v>2362</v>
      </c>
      <c r="CN1" s="134" t="s">
        <v>2363</v>
      </c>
      <c r="CO1" s="104" t="s">
        <v>2364</v>
      </c>
      <c r="CP1" s="104" t="s">
        <v>2365</v>
      </c>
      <c r="CQ1" s="104" t="s">
        <v>2313</v>
      </c>
      <c r="CR1" s="104" t="s">
        <v>2366</v>
      </c>
      <c r="CS1" s="104" t="s">
        <v>2367</v>
      </c>
      <c r="CT1" s="104" t="s">
        <v>2361</v>
      </c>
      <c r="CU1" s="104" t="s">
        <v>2368</v>
      </c>
      <c r="CV1" s="104" t="s">
        <v>2369</v>
      </c>
      <c r="CW1" s="104" t="s">
        <v>2370</v>
      </c>
      <c r="CX1" s="104" t="s">
        <v>2371</v>
      </c>
      <c r="CY1" s="104" t="s">
        <v>2372</v>
      </c>
      <c r="CZ1" s="104" t="s">
        <v>2373</v>
      </c>
      <c r="DA1" s="104" t="s">
        <v>2314</v>
      </c>
      <c r="DB1" s="104" t="s">
        <v>2374</v>
      </c>
      <c r="DC1" s="104" t="s">
        <v>2327</v>
      </c>
      <c r="DD1" s="104" t="s">
        <v>2375</v>
      </c>
      <c r="DE1" s="104" t="s">
        <v>2376</v>
      </c>
      <c r="DF1" s="104" t="s">
        <v>2317</v>
      </c>
      <c r="DG1" s="104" t="s">
        <v>2343</v>
      </c>
      <c r="DH1" s="104" t="s">
        <v>2377</v>
      </c>
      <c r="DI1" s="104" t="s">
        <v>2378</v>
      </c>
      <c r="DJ1" s="104" t="s">
        <v>2379</v>
      </c>
      <c r="DK1" s="104" t="s">
        <v>1864</v>
      </c>
      <c r="DL1" s="104" t="s">
        <v>2380</v>
      </c>
      <c r="DM1" s="104" t="s">
        <v>2381</v>
      </c>
      <c r="DN1" s="104" t="s">
        <v>2382</v>
      </c>
      <c r="DO1" s="104" t="s">
        <v>2383</v>
      </c>
      <c r="DP1" s="104" t="s">
        <v>2319</v>
      </c>
      <c r="DQ1" s="104">
        <v>2017.0</v>
      </c>
      <c r="DR1" s="104" t="s">
        <v>2336</v>
      </c>
      <c r="DS1" s="104" t="s">
        <v>2384</v>
      </c>
      <c r="DT1" s="104" t="s">
        <v>2385</v>
      </c>
      <c r="DU1" s="104" t="s">
        <v>2327</v>
      </c>
      <c r="DV1" s="104" t="s">
        <v>2386</v>
      </c>
      <c r="DW1" s="104" t="s">
        <v>2387</v>
      </c>
      <c r="DX1" s="104" t="s">
        <v>2388</v>
      </c>
      <c r="DY1" s="104" t="s">
        <v>2314</v>
      </c>
      <c r="DZ1" s="104" t="s">
        <v>2389</v>
      </c>
      <c r="EA1" s="104" t="s">
        <v>2390</v>
      </c>
      <c r="EB1" s="104" t="s">
        <v>2391</v>
      </c>
      <c r="EC1" s="104" t="s">
        <v>2392</v>
      </c>
      <c r="ED1" s="104" t="s">
        <v>2393</v>
      </c>
      <c r="EE1" s="104" t="s">
        <v>2394</v>
      </c>
      <c r="EF1" s="104" t="s">
        <v>2323</v>
      </c>
      <c r="EG1" s="104" t="s">
        <v>2395</v>
      </c>
      <c r="EH1" s="104" t="s">
        <v>2336</v>
      </c>
      <c r="EI1" s="104" t="s">
        <v>2396</v>
      </c>
      <c r="EJ1" s="104" t="s">
        <v>2397</v>
      </c>
      <c r="EK1" s="104" t="s">
        <v>2398</v>
      </c>
      <c r="EL1" s="104" t="s">
        <v>2399</v>
      </c>
      <c r="EM1" s="104" t="s">
        <v>2314</v>
      </c>
      <c r="EN1" s="104" t="s">
        <v>2400</v>
      </c>
      <c r="EO1" s="104" t="s">
        <v>2317</v>
      </c>
      <c r="EP1" s="104" t="s">
        <v>2343</v>
      </c>
      <c r="EQ1" s="104" t="s">
        <v>2401</v>
      </c>
      <c r="ER1" s="104" t="s">
        <v>2402</v>
      </c>
      <c r="ES1" s="134" t="s">
        <v>2403</v>
      </c>
      <c r="ET1" s="104" t="s">
        <v>2404</v>
      </c>
      <c r="EU1" s="104" t="s">
        <v>2405</v>
      </c>
      <c r="EV1" s="104" t="s">
        <v>2406</v>
      </c>
      <c r="EW1" s="104" t="s">
        <v>2407</v>
      </c>
      <c r="EX1" s="104" t="s">
        <v>2408</v>
      </c>
      <c r="EY1" s="104" t="s">
        <v>2323</v>
      </c>
      <c r="EZ1" s="104">
        <v>18.0</v>
      </c>
      <c r="FA1" s="104" t="s">
        <v>2409</v>
      </c>
      <c r="FB1" s="104" t="s">
        <v>2410</v>
      </c>
      <c r="FC1" s="104" t="s">
        <v>2411</v>
      </c>
      <c r="FD1" s="104" t="s">
        <v>2412</v>
      </c>
      <c r="FE1" s="104" t="s">
        <v>2336</v>
      </c>
      <c r="FF1" s="104" t="s">
        <v>2413</v>
      </c>
      <c r="FG1" s="104" t="s">
        <v>2414</v>
      </c>
      <c r="FH1" s="104">
        <v>12.0</v>
      </c>
      <c r="FI1" s="104" t="s">
        <v>2415</v>
      </c>
      <c r="FJ1" s="104" t="s">
        <v>2416</v>
      </c>
      <c r="FK1" s="104" t="s">
        <v>2417</v>
      </c>
      <c r="FL1" s="104" t="s">
        <v>2320</v>
      </c>
      <c r="FM1" s="134" t="s">
        <v>2418</v>
      </c>
      <c r="FN1" s="104" t="s">
        <v>2419</v>
      </c>
      <c r="FO1" s="104" t="s">
        <v>2420</v>
      </c>
      <c r="FP1" s="104" t="s">
        <v>2319</v>
      </c>
      <c r="FQ1" s="104" t="s">
        <v>2343</v>
      </c>
      <c r="FR1" s="104" t="s">
        <v>2421</v>
      </c>
      <c r="FS1" s="104" t="s">
        <v>2317</v>
      </c>
      <c r="FT1" s="104" t="s">
        <v>2320</v>
      </c>
      <c r="FU1" s="104" t="s">
        <v>2422</v>
      </c>
      <c r="FV1" s="104" t="s">
        <v>2423</v>
      </c>
      <c r="FW1" s="104" t="s">
        <v>2424</v>
      </c>
      <c r="FX1" s="104" t="s">
        <v>2373</v>
      </c>
      <c r="FY1" s="104" t="s">
        <v>2425</v>
      </c>
      <c r="FZ1" s="104" t="s">
        <v>2426</v>
      </c>
      <c r="GA1" s="104" t="s">
        <v>2324</v>
      </c>
      <c r="GB1" s="104" t="s">
        <v>2427</v>
      </c>
      <c r="GC1" s="104" t="s">
        <v>2336</v>
      </c>
      <c r="GD1" s="104" t="s">
        <v>2428</v>
      </c>
      <c r="GE1" s="104" t="s">
        <v>2429</v>
      </c>
      <c r="GF1" s="104" t="s">
        <v>2430</v>
      </c>
      <c r="GG1" s="104" t="s">
        <v>2373</v>
      </c>
      <c r="GH1" s="104" t="s">
        <v>2431</v>
      </c>
      <c r="GI1" s="104" t="s">
        <v>2353</v>
      </c>
      <c r="GJ1" s="104" t="s">
        <v>2343</v>
      </c>
      <c r="GK1" s="104" t="s">
        <v>2432</v>
      </c>
      <c r="GL1" s="104" t="s">
        <v>2433</v>
      </c>
      <c r="GM1" s="104" t="s">
        <v>2319</v>
      </c>
      <c r="GN1" s="104" t="s">
        <v>2434</v>
      </c>
      <c r="GO1" s="104" t="s">
        <v>2435</v>
      </c>
      <c r="GP1" s="104" t="s">
        <v>2319</v>
      </c>
      <c r="GQ1" s="104" t="s">
        <v>2436</v>
      </c>
      <c r="GR1" s="104" t="s">
        <v>2437</v>
      </c>
      <c r="GS1" s="104" t="s">
        <v>2314</v>
      </c>
      <c r="GT1" s="104" t="s">
        <v>2438</v>
      </c>
      <c r="GU1" s="104" t="s">
        <v>2439</v>
      </c>
      <c r="GV1" s="104" t="s">
        <v>2440</v>
      </c>
      <c r="GW1" s="104" t="s">
        <v>2224</v>
      </c>
      <c r="GX1" s="104" t="s">
        <v>2441</v>
      </c>
      <c r="GY1" s="104" t="s">
        <v>2315</v>
      </c>
      <c r="GZ1" s="104" t="s">
        <v>2442</v>
      </c>
      <c r="HA1" s="104" t="s">
        <v>2443</v>
      </c>
      <c r="HB1" s="134" t="s">
        <v>2444</v>
      </c>
      <c r="HC1" s="104" t="s">
        <v>2445</v>
      </c>
      <c r="HD1" s="104" t="s">
        <v>2331</v>
      </c>
      <c r="HE1" s="104" t="s">
        <v>2446</v>
      </c>
      <c r="HF1" s="104" t="s">
        <v>2447</v>
      </c>
      <c r="HG1" s="104" t="s">
        <v>2373</v>
      </c>
      <c r="HH1" s="104" t="s">
        <v>2448</v>
      </c>
      <c r="HI1" s="104" t="s">
        <v>2313</v>
      </c>
      <c r="HJ1" s="104" t="s">
        <v>2449</v>
      </c>
      <c r="HK1" s="104" t="s">
        <v>2450</v>
      </c>
      <c r="HL1" s="104" t="s">
        <v>2416</v>
      </c>
      <c r="HM1" s="104" t="s">
        <v>2323</v>
      </c>
      <c r="HN1" s="104" t="s">
        <v>2451</v>
      </c>
      <c r="HO1" s="104" t="s">
        <v>2452</v>
      </c>
      <c r="HP1" s="104" t="s">
        <v>2453</v>
      </c>
      <c r="HQ1" s="104" t="s">
        <v>2328</v>
      </c>
      <c r="HR1" s="104" t="s">
        <v>2454</v>
      </c>
      <c r="HS1" s="104" t="s">
        <v>2455</v>
      </c>
      <c r="HT1" s="104" t="s">
        <v>2456</v>
      </c>
      <c r="HU1" s="104" t="s">
        <v>2401</v>
      </c>
      <c r="HV1" s="104" t="s">
        <v>2457</v>
      </c>
      <c r="HW1" s="104" t="s">
        <v>2458</v>
      </c>
      <c r="HX1" s="104" t="s">
        <v>2373</v>
      </c>
      <c r="HY1" s="104" t="s">
        <v>2459</v>
      </c>
      <c r="HZ1" s="104" t="s">
        <v>2424</v>
      </c>
      <c r="IA1" s="104" t="s">
        <v>2460</v>
      </c>
      <c r="IB1" s="104" t="s">
        <v>2461</v>
      </c>
      <c r="IC1" s="104" t="s">
        <v>2462</v>
      </c>
      <c r="ID1" s="104" t="s">
        <v>2463</v>
      </c>
      <c r="IE1" s="104" t="s">
        <v>2336</v>
      </c>
      <c r="IF1" s="104" t="s">
        <v>2464</v>
      </c>
      <c r="IG1" s="104" t="s">
        <v>2465</v>
      </c>
      <c r="IH1" s="104" t="s">
        <v>2437</v>
      </c>
      <c r="II1" s="104" t="s">
        <v>2343</v>
      </c>
      <c r="IJ1" s="104" t="s">
        <v>2432</v>
      </c>
      <c r="IK1" s="104" t="s">
        <v>2466</v>
      </c>
      <c r="IL1" s="104" t="s">
        <v>1866</v>
      </c>
      <c r="IM1" s="104" t="s">
        <v>2336</v>
      </c>
      <c r="IN1" s="104" t="s">
        <v>2467</v>
      </c>
      <c r="IO1" s="104" t="s">
        <v>2327</v>
      </c>
      <c r="IP1" s="104" t="s">
        <v>2468</v>
      </c>
      <c r="IQ1" s="104" t="s">
        <v>2469</v>
      </c>
      <c r="IR1" s="104" t="s">
        <v>2470</v>
      </c>
      <c r="IS1" s="104" t="s">
        <v>2327</v>
      </c>
      <c r="IT1" s="104" t="s">
        <v>2471</v>
      </c>
      <c r="IU1" s="134" t="s">
        <v>2472</v>
      </c>
      <c r="IV1" s="104" t="s">
        <v>2437</v>
      </c>
      <c r="IW1" s="104" t="s">
        <v>2334</v>
      </c>
      <c r="IX1" s="104" t="s">
        <v>2473</v>
      </c>
      <c r="IY1" s="104" t="s">
        <v>2474</v>
      </c>
      <c r="IZ1" s="104" t="s">
        <v>2361</v>
      </c>
      <c r="JA1" s="104" t="s">
        <v>2475</v>
      </c>
      <c r="JB1" s="134" t="s">
        <v>2476</v>
      </c>
      <c r="JC1" s="104" t="s">
        <v>2477</v>
      </c>
      <c r="JD1" s="104" t="s">
        <v>2478</v>
      </c>
      <c r="JE1" s="104" t="s">
        <v>2479</v>
      </c>
      <c r="JF1" s="104" t="s">
        <v>2480</v>
      </c>
      <c r="JG1" s="104" t="s">
        <v>2481</v>
      </c>
      <c r="JH1" s="104" t="s">
        <v>2339</v>
      </c>
      <c r="JI1" s="104" t="s">
        <v>2482</v>
      </c>
      <c r="JJ1" s="104" t="s">
        <v>2483</v>
      </c>
      <c r="JK1" s="104" t="s">
        <v>2484</v>
      </c>
      <c r="JL1" s="104" t="s">
        <v>2327</v>
      </c>
      <c r="JM1" s="104" t="s">
        <v>2343</v>
      </c>
      <c r="JN1" s="104" t="s">
        <v>2485</v>
      </c>
      <c r="JO1" s="104" t="s">
        <v>2313</v>
      </c>
      <c r="JP1" s="104" t="s">
        <v>2486</v>
      </c>
      <c r="JQ1" s="104" t="s">
        <v>2487</v>
      </c>
      <c r="JR1" s="104" t="s">
        <v>2357</v>
      </c>
      <c r="JS1" s="104" t="s">
        <v>2488</v>
      </c>
      <c r="JT1" s="104" t="s">
        <v>2437</v>
      </c>
      <c r="JU1" s="104" t="s">
        <v>2401</v>
      </c>
      <c r="JV1" s="104" t="s">
        <v>2489</v>
      </c>
      <c r="JW1" s="104" t="s">
        <v>2490</v>
      </c>
      <c r="JX1" s="104" t="s">
        <v>2491</v>
      </c>
      <c r="JY1" s="104" t="s">
        <v>2329</v>
      </c>
      <c r="JZ1" s="104" t="s">
        <v>2492</v>
      </c>
      <c r="KA1" s="104" t="s">
        <v>2361</v>
      </c>
      <c r="KB1" s="104" t="s">
        <v>2493</v>
      </c>
      <c r="KC1" s="104" t="s">
        <v>2494</v>
      </c>
      <c r="KD1" s="104" t="s">
        <v>2495</v>
      </c>
      <c r="KE1" s="104" t="s">
        <v>2496</v>
      </c>
      <c r="KF1" s="104" t="s">
        <v>2497</v>
      </c>
      <c r="KG1" s="104" t="s">
        <v>2373</v>
      </c>
      <c r="KH1" s="104" t="s">
        <v>2498</v>
      </c>
      <c r="KI1" s="104" t="s">
        <v>2327</v>
      </c>
      <c r="KJ1" s="104" t="s">
        <v>2499</v>
      </c>
      <c r="KK1" s="104" t="s">
        <v>2500</v>
      </c>
      <c r="KL1" s="104" t="s">
        <v>2501</v>
      </c>
      <c r="KM1" s="104" t="s">
        <v>2502</v>
      </c>
      <c r="KN1" s="104" t="s">
        <v>2503</v>
      </c>
      <c r="KO1" s="104" t="s">
        <v>2504</v>
      </c>
      <c r="KP1" s="104" t="s">
        <v>2373</v>
      </c>
      <c r="KQ1" s="104" t="s">
        <v>2343</v>
      </c>
      <c r="KR1" s="134" t="s">
        <v>2505</v>
      </c>
      <c r="KS1" s="104" t="s">
        <v>2424</v>
      </c>
      <c r="KT1" s="104" t="s">
        <v>2506</v>
      </c>
      <c r="KU1" s="104" t="s">
        <v>2319</v>
      </c>
      <c r="KV1" s="104" t="s">
        <v>2343</v>
      </c>
      <c r="KW1" s="104" t="s">
        <v>2507</v>
      </c>
      <c r="KX1" s="134" t="s">
        <v>2508</v>
      </c>
      <c r="KY1" s="104" t="s">
        <v>2509</v>
      </c>
      <c r="KZ1" s="104" t="s">
        <v>2416</v>
      </c>
      <c r="LA1" s="104" t="s">
        <v>2323</v>
      </c>
      <c r="LB1" s="104" t="s">
        <v>2510</v>
      </c>
      <c r="LC1" s="104" t="s">
        <v>2511</v>
      </c>
      <c r="LD1" s="104" t="s">
        <v>2452</v>
      </c>
      <c r="LE1" s="104" t="s">
        <v>2512</v>
      </c>
      <c r="LF1" s="104" t="s">
        <v>2513</v>
      </c>
      <c r="LG1" s="104" t="s">
        <v>2514</v>
      </c>
      <c r="LH1" s="104" t="s">
        <v>2515</v>
      </c>
      <c r="LI1" s="104" t="s">
        <v>2313</v>
      </c>
      <c r="LJ1" s="104" t="s">
        <v>2516</v>
      </c>
      <c r="LK1" s="104" t="s">
        <v>2517</v>
      </c>
      <c r="LL1" s="104" t="s">
        <v>2361</v>
      </c>
      <c r="LM1" s="104" t="s">
        <v>2518</v>
      </c>
      <c r="LN1" s="104" t="s">
        <v>2519</v>
      </c>
      <c r="LO1" s="104" t="s">
        <v>2322</v>
      </c>
      <c r="LP1" s="104" t="s">
        <v>2323</v>
      </c>
      <c r="LQ1" s="104" t="s">
        <v>2520</v>
      </c>
      <c r="LR1" s="104" t="s">
        <v>2521</v>
      </c>
      <c r="LS1" s="104" t="s">
        <v>2327</v>
      </c>
      <c r="LT1" s="104" t="s">
        <v>2328</v>
      </c>
      <c r="LU1" s="104" t="s">
        <v>2349</v>
      </c>
      <c r="LV1" s="104" t="s">
        <v>2522</v>
      </c>
      <c r="LW1" s="104" t="s">
        <v>2327</v>
      </c>
      <c r="LX1" s="104" t="s">
        <v>2523</v>
      </c>
      <c r="LY1" s="104" t="s">
        <v>2333</v>
      </c>
      <c r="LZ1" s="104" t="s">
        <v>2524</v>
      </c>
      <c r="MA1" s="104" t="s">
        <v>2320</v>
      </c>
      <c r="MB1" s="104" t="s">
        <v>2525</v>
      </c>
      <c r="MC1" s="104" t="s">
        <v>2323</v>
      </c>
      <c r="MD1" s="104" t="s">
        <v>2345</v>
      </c>
      <c r="ME1" s="104" t="s">
        <v>2526</v>
      </c>
      <c r="MF1" s="104" t="s">
        <v>2327</v>
      </c>
      <c r="MG1" s="104" t="s">
        <v>2527</v>
      </c>
      <c r="MH1" s="104" t="s">
        <v>2337</v>
      </c>
      <c r="MI1" s="104" t="s">
        <v>2528</v>
      </c>
      <c r="MJ1" s="104" t="s">
        <v>2529</v>
      </c>
      <c r="MK1" s="104" t="s">
        <v>2530</v>
      </c>
      <c r="ML1" s="104" t="s">
        <v>2313</v>
      </c>
      <c r="MM1" s="104" t="s">
        <v>2531</v>
      </c>
      <c r="MN1" s="104" t="s">
        <v>2532</v>
      </c>
      <c r="MO1" s="104" t="s">
        <v>2533</v>
      </c>
      <c r="MP1" s="104" t="s">
        <v>2534</v>
      </c>
      <c r="MQ1" s="104" t="s">
        <v>2353</v>
      </c>
      <c r="MR1" s="104" t="s">
        <v>2343</v>
      </c>
      <c r="MS1" s="104" t="s">
        <v>2355</v>
      </c>
      <c r="MT1" s="104" t="s">
        <v>2535</v>
      </c>
      <c r="MU1" s="104" t="s">
        <v>2317</v>
      </c>
      <c r="MV1" s="104" t="s">
        <v>2343</v>
      </c>
      <c r="MW1" s="104" t="s">
        <v>2536</v>
      </c>
      <c r="MX1" s="104" t="s">
        <v>2497</v>
      </c>
      <c r="MY1" s="104" t="s">
        <v>2327</v>
      </c>
      <c r="MZ1" s="104" t="s">
        <v>2323</v>
      </c>
      <c r="NA1" s="104" t="s">
        <v>2537</v>
      </c>
      <c r="NB1" s="104" t="s">
        <v>2313</v>
      </c>
      <c r="NC1" s="104" t="s">
        <v>2314</v>
      </c>
      <c r="ND1" s="104" t="s">
        <v>2538</v>
      </c>
      <c r="NE1" s="104" t="s">
        <v>2539</v>
      </c>
      <c r="NF1" s="104" t="s">
        <v>2540</v>
      </c>
      <c r="NG1" s="104" t="s">
        <v>2541</v>
      </c>
      <c r="NH1" s="104" t="s">
        <v>2542</v>
      </c>
      <c r="NI1" s="104" t="s">
        <v>2322</v>
      </c>
      <c r="NJ1" s="104" t="s">
        <v>2359</v>
      </c>
      <c r="NK1" s="104" t="s">
        <v>2314</v>
      </c>
      <c r="NL1" s="104" t="s">
        <v>2543</v>
      </c>
      <c r="NM1" s="104" t="s">
        <v>2423</v>
      </c>
      <c r="NN1" s="104" t="s">
        <v>2345</v>
      </c>
      <c r="NO1" s="104" t="s">
        <v>2336</v>
      </c>
      <c r="NP1" s="104" t="s">
        <v>2314</v>
      </c>
      <c r="NQ1" s="134" t="s">
        <v>2544</v>
      </c>
      <c r="NR1" s="104" t="s">
        <v>2545</v>
      </c>
      <c r="NS1" s="104" t="s">
        <v>2546</v>
      </c>
      <c r="NT1" s="104" t="s">
        <v>2547</v>
      </c>
      <c r="NU1" s="104" t="s">
        <v>2297</v>
      </c>
      <c r="NV1" s="104" t="s">
        <v>2548</v>
      </c>
      <c r="NW1" s="104" t="s">
        <v>2331</v>
      </c>
      <c r="NX1" s="104" t="s">
        <v>2394</v>
      </c>
      <c r="NY1" s="104" t="s">
        <v>2361</v>
      </c>
      <c r="NZ1" s="104" t="s">
        <v>2367</v>
      </c>
      <c r="OA1" s="104" t="s">
        <v>2398</v>
      </c>
      <c r="OB1" s="104" t="s">
        <v>2373</v>
      </c>
      <c r="OC1" s="104" t="s">
        <v>2351</v>
      </c>
      <c r="OD1" s="104" t="s">
        <v>2549</v>
      </c>
      <c r="OE1" s="104" t="s">
        <v>2550</v>
      </c>
      <c r="OF1" s="104" t="s">
        <v>2549</v>
      </c>
      <c r="OG1" s="104" t="s">
        <v>2319</v>
      </c>
      <c r="OH1" s="104" t="s">
        <v>2343</v>
      </c>
      <c r="OI1" s="104" t="s">
        <v>2551</v>
      </c>
      <c r="OJ1" s="104" t="s">
        <v>2552</v>
      </c>
      <c r="OK1" s="104" t="s">
        <v>2553</v>
      </c>
      <c r="OL1" s="104" t="s">
        <v>2322</v>
      </c>
      <c r="OM1" s="104" t="s">
        <v>2554</v>
      </c>
      <c r="ON1" s="104" t="s">
        <v>2555</v>
      </c>
      <c r="OO1" s="104" t="s">
        <v>2313</v>
      </c>
      <c r="OP1" s="104" t="s">
        <v>2556</v>
      </c>
      <c r="OQ1" s="104" t="s">
        <v>2557</v>
      </c>
      <c r="OR1" s="104" t="s">
        <v>2383</v>
      </c>
      <c r="OS1" s="104" t="s">
        <v>2558</v>
      </c>
      <c r="OT1" s="104" t="s">
        <v>2559</v>
      </c>
      <c r="OU1" s="104" t="s">
        <v>2319</v>
      </c>
      <c r="OV1" s="104">
        <v>2011.0</v>
      </c>
      <c r="OW1" s="104" t="s">
        <v>2560</v>
      </c>
      <c r="OX1" s="104" t="s">
        <v>2319</v>
      </c>
      <c r="OY1" s="104" t="s">
        <v>2343</v>
      </c>
      <c r="OZ1" s="134" t="s">
        <v>2561</v>
      </c>
      <c r="PA1" s="104" t="s">
        <v>2373</v>
      </c>
      <c r="PB1" s="104" t="s">
        <v>2562</v>
      </c>
      <c r="PC1" s="104" t="s">
        <v>2563</v>
      </c>
      <c r="PD1" s="104" t="s">
        <v>2324</v>
      </c>
      <c r="PE1" s="104" t="s">
        <v>2564</v>
      </c>
      <c r="PF1" s="104" t="s">
        <v>2565</v>
      </c>
      <c r="PG1" s="104" t="s">
        <v>2566</v>
      </c>
      <c r="PH1" s="104">
        <v>12.0</v>
      </c>
      <c r="PI1" s="104" t="s">
        <v>2361</v>
      </c>
      <c r="PJ1" s="104">
        <v>13.0</v>
      </c>
      <c r="PK1" s="104" t="s">
        <v>2437</v>
      </c>
      <c r="PL1" s="104" t="s">
        <v>2343</v>
      </c>
      <c r="PM1" s="134" t="s">
        <v>2567</v>
      </c>
      <c r="PN1" s="104" t="s">
        <v>2424</v>
      </c>
      <c r="PO1" s="104" t="s">
        <v>2373</v>
      </c>
      <c r="PP1" s="104" t="s">
        <v>2343</v>
      </c>
      <c r="PQ1" s="104" t="s">
        <v>2568</v>
      </c>
      <c r="PR1" s="104" t="s">
        <v>2569</v>
      </c>
      <c r="PS1" s="104" t="s">
        <v>2336</v>
      </c>
      <c r="PT1" s="104" t="s">
        <v>2357</v>
      </c>
      <c r="PU1" s="104" t="s">
        <v>2570</v>
      </c>
      <c r="PV1" s="104" t="s">
        <v>2416</v>
      </c>
      <c r="PW1" s="104" t="s">
        <v>2427</v>
      </c>
      <c r="PX1" s="104" t="s">
        <v>2319</v>
      </c>
      <c r="PY1" s="104" t="s">
        <v>2320</v>
      </c>
      <c r="PZ1" s="104" t="s">
        <v>2422</v>
      </c>
      <c r="QA1" s="104" t="s">
        <v>2571</v>
      </c>
      <c r="QB1" s="104" t="s">
        <v>2501</v>
      </c>
      <c r="QC1" s="134" t="s">
        <v>2508</v>
      </c>
      <c r="QD1" s="104" t="s">
        <v>2572</v>
      </c>
      <c r="QE1" s="104" t="s">
        <v>2373</v>
      </c>
      <c r="QF1" s="104" t="s">
        <v>2343</v>
      </c>
      <c r="QG1" s="104" t="s">
        <v>2573</v>
      </c>
      <c r="QH1" s="104" t="s">
        <v>2574</v>
      </c>
      <c r="QI1" s="104" t="s">
        <v>2575</v>
      </c>
      <c r="QJ1" s="104" t="s">
        <v>2576</v>
      </c>
      <c r="QK1" s="104" t="s">
        <v>2336</v>
      </c>
      <c r="QL1" s="104" t="s">
        <v>2577</v>
      </c>
      <c r="QM1" s="104" t="s">
        <v>2357</v>
      </c>
      <c r="QN1" s="104" t="s">
        <v>2578</v>
      </c>
      <c r="QO1" s="104" t="s">
        <v>2314</v>
      </c>
      <c r="QP1" s="104" t="s">
        <v>2579</v>
      </c>
      <c r="QQ1" s="104" t="s">
        <v>2334</v>
      </c>
      <c r="QR1" s="104" t="s">
        <v>2580</v>
      </c>
      <c r="QS1" s="104" t="s">
        <v>2429</v>
      </c>
      <c r="QT1" s="104" t="s">
        <v>2581</v>
      </c>
      <c r="QU1" s="104" t="s">
        <v>2582</v>
      </c>
      <c r="QV1" s="104" t="s">
        <v>2583</v>
      </c>
      <c r="QW1" s="104" t="s">
        <v>2584</v>
      </c>
      <c r="QX1" s="104" t="s">
        <v>2345</v>
      </c>
      <c r="QY1" s="104" t="s">
        <v>2440</v>
      </c>
      <c r="QZ1" s="104" t="s">
        <v>2585</v>
      </c>
      <c r="RA1" s="104" t="s">
        <v>2586</v>
      </c>
      <c r="RB1" s="104" t="s">
        <v>2587</v>
      </c>
      <c r="RC1" s="104" t="s">
        <v>2588</v>
      </c>
      <c r="RD1" s="104" t="s">
        <v>2327</v>
      </c>
      <c r="RE1" s="134" t="s">
        <v>2589</v>
      </c>
      <c r="RF1" s="104" t="s">
        <v>2590</v>
      </c>
      <c r="RG1" s="104" t="s">
        <v>2591</v>
      </c>
      <c r="RH1" s="104" t="s">
        <v>2319</v>
      </c>
      <c r="RI1" s="104" t="s">
        <v>2592</v>
      </c>
      <c r="RJ1" s="104" t="s">
        <v>2593</v>
      </c>
      <c r="RK1" s="104" t="s">
        <v>2594</v>
      </c>
      <c r="RL1" s="134" t="s">
        <v>2508</v>
      </c>
      <c r="RM1" s="104" t="s">
        <v>2373</v>
      </c>
      <c r="RN1" s="104" t="s">
        <v>2595</v>
      </c>
      <c r="RO1" s="104" t="s">
        <v>2596</v>
      </c>
      <c r="RP1" s="104" t="s">
        <v>2597</v>
      </c>
      <c r="RQ1" s="104" t="s">
        <v>2471</v>
      </c>
      <c r="RR1" s="104" t="s">
        <v>2598</v>
      </c>
      <c r="RS1" s="104" t="s">
        <v>2599</v>
      </c>
      <c r="RT1" s="104" t="s">
        <v>2315</v>
      </c>
      <c r="RU1" s="104" t="s">
        <v>2600</v>
      </c>
      <c r="RV1" s="104" t="s">
        <v>2416</v>
      </c>
      <c r="RW1" s="104" t="s">
        <v>2323</v>
      </c>
      <c r="RX1" s="104" t="s">
        <v>2345</v>
      </c>
      <c r="RY1" s="104" t="s">
        <v>2601</v>
      </c>
      <c r="RZ1" s="104" t="s">
        <v>2353</v>
      </c>
      <c r="SA1" s="104" t="s">
        <v>2602</v>
      </c>
      <c r="SB1" s="104" t="s">
        <v>2361</v>
      </c>
      <c r="SC1" s="104" t="s">
        <v>2603</v>
      </c>
      <c r="SD1" s="104" t="s">
        <v>2604</v>
      </c>
      <c r="SE1" s="104" t="s">
        <v>2605</v>
      </c>
      <c r="SF1" s="104" t="s">
        <v>58</v>
      </c>
      <c r="SG1" s="134" t="s">
        <v>2606</v>
      </c>
      <c r="SH1" s="104" t="s">
        <v>2317</v>
      </c>
      <c r="SI1" s="104" t="s">
        <v>2607</v>
      </c>
      <c r="SJ1" s="104" t="s">
        <v>2336</v>
      </c>
      <c r="SK1" s="104" t="s">
        <v>2608</v>
      </c>
      <c r="SL1" s="104" t="s">
        <v>2609</v>
      </c>
      <c r="SM1" s="104" t="s">
        <v>2373</v>
      </c>
      <c r="SN1" s="104" t="s">
        <v>2345</v>
      </c>
      <c r="SO1" s="104" t="s">
        <v>2610</v>
      </c>
      <c r="SP1" s="104" t="s">
        <v>2611</v>
      </c>
      <c r="SQ1" s="104" t="s">
        <v>2343</v>
      </c>
      <c r="SR1" s="104" t="s">
        <v>2612</v>
      </c>
      <c r="SS1" s="104" t="s">
        <v>2613</v>
      </c>
      <c r="ST1" s="104" t="s">
        <v>2317</v>
      </c>
      <c r="SU1" s="104" t="s">
        <v>2343</v>
      </c>
      <c r="SV1" s="104" t="s">
        <v>2614</v>
      </c>
      <c r="SW1" s="104" t="s">
        <v>2555</v>
      </c>
      <c r="SX1" s="104" t="s">
        <v>2437</v>
      </c>
      <c r="SY1" s="104" t="s">
        <v>2343</v>
      </c>
      <c r="SZ1" s="104" t="s">
        <v>2615</v>
      </c>
      <c r="TA1" s="104" t="s">
        <v>2317</v>
      </c>
      <c r="TB1" s="104" t="s">
        <v>2429</v>
      </c>
      <c r="TC1" s="104" t="s">
        <v>2616</v>
      </c>
      <c r="TD1" s="104" t="s">
        <v>2327</v>
      </c>
      <c r="TE1" s="104" t="s">
        <v>2585</v>
      </c>
      <c r="TF1" s="104" t="s">
        <v>2617</v>
      </c>
      <c r="TG1" s="134" t="s">
        <v>2618</v>
      </c>
      <c r="TH1" s="104" t="s">
        <v>2437</v>
      </c>
      <c r="TI1" s="104" t="s">
        <v>2619</v>
      </c>
      <c r="TJ1" s="134" t="s">
        <v>2620</v>
      </c>
      <c r="TK1" s="104" t="s">
        <v>2621</v>
      </c>
      <c r="TL1" s="104" t="s">
        <v>2361</v>
      </c>
      <c r="TM1" s="104" t="s">
        <v>2531</v>
      </c>
      <c r="TN1" s="104" t="s">
        <v>2622</v>
      </c>
      <c r="TO1" s="104" t="s">
        <v>2623</v>
      </c>
      <c r="TP1" s="104" t="s">
        <v>2343</v>
      </c>
      <c r="TQ1" s="104" t="s">
        <v>2469</v>
      </c>
      <c r="TR1" s="104" t="s">
        <v>2624</v>
      </c>
      <c r="TS1" s="104" t="s">
        <v>2337</v>
      </c>
      <c r="TT1" s="104" t="s">
        <v>2526</v>
      </c>
      <c r="TU1" s="104" t="s">
        <v>2625</v>
      </c>
      <c r="TV1" s="104" t="s">
        <v>2626</v>
      </c>
      <c r="TW1" s="104" t="s">
        <v>2627</v>
      </c>
      <c r="TX1" s="104" t="s">
        <v>2628</v>
      </c>
      <c r="TY1" s="104" t="s">
        <v>2629</v>
      </c>
      <c r="TZ1" s="104" t="s">
        <v>2327</v>
      </c>
      <c r="UA1" s="104" t="s">
        <v>2630</v>
      </c>
      <c r="UB1" s="104" t="s">
        <v>2313</v>
      </c>
      <c r="UC1" s="104" t="s">
        <v>2530</v>
      </c>
      <c r="UD1" s="104" t="s">
        <v>2313</v>
      </c>
      <c r="UE1" s="104" t="s">
        <v>2631</v>
      </c>
      <c r="UF1" s="104" t="s">
        <v>2602</v>
      </c>
      <c r="UG1" s="104" t="s">
        <v>2327</v>
      </c>
      <c r="UH1" s="104" t="s">
        <v>2632</v>
      </c>
      <c r="UI1" s="104" t="s">
        <v>2633</v>
      </c>
      <c r="UJ1" s="104" t="s">
        <v>2491</v>
      </c>
      <c r="UK1" s="134" t="s">
        <v>2634</v>
      </c>
      <c r="UL1" s="104" t="s">
        <v>2635</v>
      </c>
      <c r="UM1" s="104" t="s">
        <v>2327</v>
      </c>
      <c r="UN1" s="134" t="s">
        <v>2501</v>
      </c>
      <c r="UO1" s="104" t="s">
        <v>2344</v>
      </c>
      <c r="UP1" s="104" t="s">
        <v>2636</v>
      </c>
      <c r="UQ1" s="104" t="s">
        <v>2637</v>
      </c>
      <c r="UR1" s="104" t="s">
        <v>2638</v>
      </c>
      <c r="US1" s="104" t="s">
        <v>2313</v>
      </c>
      <c r="UT1" s="104" t="s">
        <v>2639</v>
      </c>
      <c r="UU1" s="104" t="s">
        <v>2640</v>
      </c>
      <c r="UV1" s="104" t="s">
        <v>2343</v>
      </c>
      <c r="UW1" s="104" t="s">
        <v>2536</v>
      </c>
      <c r="UX1" s="104" t="s">
        <v>2641</v>
      </c>
      <c r="UY1" s="104" t="s">
        <v>2642</v>
      </c>
      <c r="UZ1" s="104" t="s">
        <v>2643</v>
      </c>
      <c r="VA1" s="104" t="s">
        <v>2496</v>
      </c>
      <c r="VB1" s="104" t="s">
        <v>2497</v>
      </c>
      <c r="VC1" s="104" t="s">
        <v>2373</v>
      </c>
      <c r="VD1" s="104" t="s">
        <v>2499</v>
      </c>
      <c r="VE1" s="104" t="s">
        <v>2644</v>
      </c>
      <c r="VF1" s="104" t="s">
        <v>2645</v>
      </c>
      <c r="VG1" s="104" t="s">
        <v>2327</v>
      </c>
      <c r="VH1" s="104" t="s">
        <v>2511</v>
      </c>
      <c r="VI1" s="104" t="s">
        <v>2646</v>
      </c>
      <c r="VJ1" s="104" t="s">
        <v>2647</v>
      </c>
      <c r="VK1" s="104" t="s">
        <v>2373</v>
      </c>
      <c r="VL1" s="104" t="s">
        <v>2648</v>
      </c>
      <c r="VM1" s="104" t="s">
        <v>2353</v>
      </c>
      <c r="VN1" s="104" t="s">
        <v>2343</v>
      </c>
      <c r="VO1" s="134" t="s">
        <v>2649</v>
      </c>
      <c r="VP1" s="104" t="s">
        <v>2650</v>
      </c>
      <c r="VQ1" s="104" t="s">
        <v>2651</v>
      </c>
      <c r="VR1" s="104" t="s">
        <v>2424</v>
      </c>
      <c r="VS1" s="104" t="s">
        <v>2652</v>
      </c>
      <c r="VT1" s="104" t="s">
        <v>2313</v>
      </c>
      <c r="VU1" s="104" t="s">
        <v>2343</v>
      </c>
      <c r="VV1" s="104" t="s">
        <v>2409</v>
      </c>
      <c r="VW1" s="134" t="s">
        <v>2653</v>
      </c>
      <c r="VX1" s="104" t="s">
        <v>2654</v>
      </c>
      <c r="VY1" s="104" t="s">
        <v>2655</v>
      </c>
      <c r="VZ1" s="104" t="s">
        <v>2656</v>
      </c>
      <c r="WA1" s="104" t="s">
        <v>2501</v>
      </c>
      <c r="WB1" s="104" t="s">
        <v>2497</v>
      </c>
      <c r="WC1" s="104" t="s">
        <v>2657</v>
      </c>
      <c r="WD1" s="104" t="s">
        <v>2658</v>
      </c>
      <c r="WE1" s="104" t="s">
        <v>2535</v>
      </c>
      <c r="WF1" s="104" t="s">
        <v>2591</v>
      </c>
      <c r="WG1" s="104" t="s">
        <v>2659</v>
      </c>
      <c r="WH1" s="104" t="s">
        <v>2660</v>
      </c>
      <c r="WI1" s="104" t="s">
        <v>2661</v>
      </c>
      <c r="WJ1" s="104" t="s">
        <v>2319</v>
      </c>
      <c r="WK1" s="104" t="s">
        <v>2343</v>
      </c>
      <c r="WL1" s="104" t="s">
        <v>2422</v>
      </c>
      <c r="WM1" s="104" t="s">
        <v>2362</v>
      </c>
      <c r="WN1" s="104" t="s">
        <v>2662</v>
      </c>
      <c r="WO1" s="104" t="s">
        <v>2322</v>
      </c>
      <c r="WP1" s="104" t="s">
        <v>2323</v>
      </c>
      <c r="WQ1" s="104" t="s">
        <v>2511</v>
      </c>
      <c r="WR1" s="104" t="s">
        <v>2663</v>
      </c>
      <c r="WS1" s="104" t="s">
        <v>2664</v>
      </c>
      <c r="WT1" s="104" t="s">
        <v>2327</v>
      </c>
      <c r="WU1" s="104" t="s">
        <v>2665</v>
      </c>
      <c r="WV1" s="104" t="s">
        <v>2313</v>
      </c>
      <c r="WW1" s="104" t="s">
        <v>2314</v>
      </c>
      <c r="WX1" s="104" t="s">
        <v>2666</v>
      </c>
      <c r="WY1" s="104" t="s">
        <v>2667</v>
      </c>
      <c r="WZ1" s="104" t="s">
        <v>2501</v>
      </c>
      <c r="XA1" s="104" t="s">
        <v>2574</v>
      </c>
      <c r="XB1" s="104" t="s">
        <v>2668</v>
      </c>
      <c r="XC1" s="104" t="s">
        <v>2323</v>
      </c>
      <c r="XD1" s="104" t="s">
        <v>2345</v>
      </c>
      <c r="XE1" s="104" t="s">
        <v>2669</v>
      </c>
      <c r="XF1" s="104" t="s">
        <v>2670</v>
      </c>
      <c r="XG1" s="104" t="s">
        <v>2343</v>
      </c>
      <c r="XH1" s="134" t="s">
        <v>2671</v>
      </c>
      <c r="XI1" s="104" t="s">
        <v>2672</v>
      </c>
      <c r="XJ1" s="104" t="s">
        <v>2673</v>
      </c>
      <c r="XK1" s="104" t="s">
        <v>2314</v>
      </c>
      <c r="XL1" s="104" t="s">
        <v>2674</v>
      </c>
      <c r="XM1" s="104" t="s">
        <v>2675</v>
      </c>
      <c r="XN1" s="104" t="s">
        <v>2676</v>
      </c>
      <c r="XO1" s="104" t="s">
        <v>2677</v>
      </c>
      <c r="XP1" s="104" t="s">
        <v>2313</v>
      </c>
      <c r="XQ1" s="104" t="s">
        <v>2678</v>
      </c>
      <c r="XR1" s="104" t="s">
        <v>2336</v>
      </c>
      <c r="XS1" s="104" t="s">
        <v>2679</v>
      </c>
      <c r="XT1" s="104" t="s">
        <v>2670</v>
      </c>
      <c r="XU1" s="104" t="s">
        <v>2343</v>
      </c>
      <c r="XV1" s="104" t="s">
        <v>2680</v>
      </c>
      <c r="XW1" s="134" t="s">
        <v>2681</v>
      </c>
      <c r="XX1" s="104" t="s">
        <v>2682</v>
      </c>
      <c r="XY1" s="104" t="s">
        <v>2683</v>
      </c>
      <c r="XZ1" s="104" t="s">
        <v>2373</v>
      </c>
      <c r="YA1" s="104" t="s">
        <v>2684</v>
      </c>
      <c r="YB1" s="104" t="s">
        <v>2685</v>
      </c>
      <c r="YC1" s="104" t="s">
        <v>2686</v>
      </c>
      <c r="YD1" s="104" t="s">
        <v>2336</v>
      </c>
      <c r="YE1" s="104" t="s">
        <v>2687</v>
      </c>
      <c r="YF1" s="104" t="s">
        <v>2322</v>
      </c>
      <c r="YG1" s="104" t="s">
        <v>2688</v>
      </c>
      <c r="YH1" s="104" t="s">
        <v>2314</v>
      </c>
      <c r="YI1" s="104" t="s">
        <v>2538</v>
      </c>
      <c r="YJ1" s="104" t="s">
        <v>2689</v>
      </c>
      <c r="YK1" s="104" t="s">
        <v>2327</v>
      </c>
      <c r="YL1" s="104" t="s">
        <v>2514</v>
      </c>
      <c r="YM1" s="104" t="s">
        <v>2690</v>
      </c>
      <c r="YN1" s="104" t="s">
        <v>2691</v>
      </c>
      <c r="YO1" s="104" t="s">
        <v>2501</v>
      </c>
      <c r="YP1" s="134" t="s">
        <v>2692</v>
      </c>
      <c r="YQ1" s="104" t="s">
        <v>2693</v>
      </c>
      <c r="YR1" s="104" t="s">
        <v>2694</v>
      </c>
      <c r="YS1" s="104" t="s">
        <v>2364</v>
      </c>
      <c r="YT1" s="104" t="s">
        <v>2394</v>
      </c>
      <c r="YU1" s="104" t="s">
        <v>2373</v>
      </c>
      <c r="YV1" s="104" t="s">
        <v>2314</v>
      </c>
      <c r="YW1" s="104" t="s">
        <v>2695</v>
      </c>
      <c r="YX1" s="104" t="s">
        <v>2696</v>
      </c>
      <c r="YY1" s="104" t="s">
        <v>2452</v>
      </c>
      <c r="YZ1" s="104" t="s">
        <v>2398</v>
      </c>
      <c r="ZA1" s="104" t="s">
        <v>2697</v>
      </c>
      <c r="ZB1" s="104" t="s">
        <v>2698</v>
      </c>
      <c r="ZC1" s="104" t="s">
        <v>2699</v>
      </c>
      <c r="ZD1" s="104" t="s">
        <v>2413</v>
      </c>
      <c r="ZE1" s="104" t="s">
        <v>2496</v>
      </c>
      <c r="ZF1" s="104" t="s">
        <v>2591</v>
      </c>
      <c r="ZG1" s="104" t="s">
        <v>2700</v>
      </c>
      <c r="ZH1" s="104" t="s">
        <v>2701</v>
      </c>
      <c r="ZI1" s="104" t="s">
        <v>2327</v>
      </c>
      <c r="ZJ1" s="104" t="s">
        <v>2702</v>
      </c>
      <c r="ZK1" s="104" t="s">
        <v>2351</v>
      </c>
      <c r="ZL1" s="104" t="s">
        <v>2555</v>
      </c>
      <c r="ZM1" s="104" t="s">
        <v>2565</v>
      </c>
      <c r="ZN1" s="104" t="s">
        <v>2315</v>
      </c>
      <c r="ZO1" s="104" t="s">
        <v>2703</v>
      </c>
      <c r="ZP1" s="104" t="s">
        <v>58</v>
      </c>
      <c r="ZQ1" s="104" t="s">
        <v>2548</v>
      </c>
      <c r="ZR1" s="134" t="s">
        <v>2704</v>
      </c>
      <c r="ZS1" s="104" t="s">
        <v>1713</v>
      </c>
      <c r="ZT1" s="104" t="s">
        <v>2705</v>
      </c>
      <c r="ZU1" s="104" t="s">
        <v>2706</v>
      </c>
      <c r="ZV1" s="104" t="s">
        <v>2558</v>
      </c>
      <c r="ZW1" s="104" t="s">
        <v>2707</v>
      </c>
      <c r="ZX1" s="104" t="s">
        <v>2452</v>
      </c>
      <c r="ZY1" s="104" t="s">
        <v>2398</v>
      </c>
      <c r="ZZ1" s="104" t="s">
        <v>2373</v>
      </c>
      <c r="AAA1" s="104" t="s">
        <v>2351</v>
      </c>
      <c r="AAB1" s="104" t="s">
        <v>2382</v>
      </c>
      <c r="AAC1" s="104" t="s">
        <v>2708</v>
      </c>
      <c r="AAD1" s="104" t="s">
        <v>2327</v>
      </c>
      <c r="AAE1" s="104" t="s">
        <v>2373</v>
      </c>
      <c r="AAF1" s="104" t="s">
        <v>2351</v>
      </c>
      <c r="AAG1" s="104" t="s">
        <v>2709</v>
      </c>
      <c r="AAH1" s="104" t="s">
        <v>2710</v>
      </c>
      <c r="AAI1" s="104" t="s">
        <v>2711</v>
      </c>
      <c r="AAJ1" s="104" t="s">
        <v>2647</v>
      </c>
      <c r="AAK1" s="104" t="s">
        <v>2712</v>
      </c>
      <c r="AAL1" s="104" t="s">
        <v>2351</v>
      </c>
      <c r="AAM1" s="104" t="s">
        <v>2713</v>
      </c>
      <c r="AAN1" s="104" t="s">
        <v>2714</v>
      </c>
      <c r="AAO1" s="104" t="s">
        <v>2357</v>
      </c>
      <c r="AAP1" s="104" t="s">
        <v>2715</v>
      </c>
      <c r="AAQ1" s="104" t="s">
        <v>2716</v>
      </c>
      <c r="AAR1" s="134" t="s">
        <v>2649</v>
      </c>
      <c r="AAS1" s="104" t="s">
        <v>2717</v>
      </c>
      <c r="AAT1" s="104" t="s">
        <v>2718</v>
      </c>
      <c r="AAU1" s="104" t="s">
        <v>2416</v>
      </c>
      <c r="AAV1" s="104" t="s">
        <v>2719</v>
      </c>
      <c r="AAW1" s="104" t="s">
        <v>2314</v>
      </c>
      <c r="AAX1" s="104" t="s">
        <v>2535</v>
      </c>
      <c r="AAY1" s="104" t="s">
        <v>2720</v>
      </c>
      <c r="AAZ1" s="104" t="s">
        <v>2319</v>
      </c>
      <c r="ABA1" s="104" t="s">
        <v>2320</v>
      </c>
      <c r="ABB1" s="104" t="s">
        <v>2721</v>
      </c>
      <c r="ABC1" s="104" t="s">
        <v>2722</v>
      </c>
      <c r="ABD1" s="104" t="s">
        <v>2723</v>
      </c>
      <c r="ABE1" s="104" t="s">
        <v>2724</v>
      </c>
      <c r="ABF1" s="104" t="s">
        <v>2725</v>
      </c>
      <c r="ABG1" s="104" t="s">
        <v>2726</v>
      </c>
      <c r="ABH1" s="104" t="s">
        <v>2319</v>
      </c>
      <c r="ABI1" s="104" t="s">
        <v>2343</v>
      </c>
      <c r="ABJ1" s="104" t="s">
        <v>2422</v>
      </c>
      <c r="ABK1" s="104" t="s">
        <v>2722</v>
      </c>
      <c r="ABL1" s="104" t="s">
        <v>2727</v>
      </c>
      <c r="ABM1" s="104" t="s">
        <v>2728</v>
      </c>
      <c r="ABN1" s="104" t="s">
        <v>2729</v>
      </c>
      <c r="ABO1" s="104" t="s">
        <v>2336</v>
      </c>
      <c r="ABP1" s="104" t="s">
        <v>2343</v>
      </c>
      <c r="ABQ1" s="134" t="s">
        <v>2730</v>
      </c>
      <c r="ABR1" s="104" t="s">
        <v>2430</v>
      </c>
      <c r="ABS1" s="104" t="s">
        <v>2373</v>
      </c>
      <c r="ABT1" s="104" t="s">
        <v>2731</v>
      </c>
      <c r="ABU1" s="104" t="s">
        <v>2440</v>
      </c>
      <c r="ABV1" s="104" t="s">
        <v>2343</v>
      </c>
      <c r="ABW1" s="104" t="s">
        <v>2732</v>
      </c>
      <c r="ABX1" s="104" t="s">
        <v>2432</v>
      </c>
      <c r="ABY1" s="104" t="s">
        <v>2433</v>
      </c>
      <c r="ABZ1" s="104" t="s">
        <v>2319</v>
      </c>
      <c r="ACA1" s="104" t="s">
        <v>2733</v>
      </c>
      <c r="ACB1" s="104" t="s">
        <v>2424</v>
      </c>
      <c r="ACC1" s="104" t="s">
        <v>2734</v>
      </c>
      <c r="ACD1" s="104" t="s">
        <v>2549</v>
      </c>
      <c r="ACE1" s="104" t="s">
        <v>2343</v>
      </c>
      <c r="ACF1" s="104" t="s">
        <v>2502</v>
      </c>
      <c r="ACG1" s="104" t="s">
        <v>2429</v>
      </c>
      <c r="ACH1" s="104" t="s">
        <v>2735</v>
      </c>
      <c r="ACI1" s="104" t="s">
        <v>2336</v>
      </c>
      <c r="ACJ1" s="104" t="s">
        <v>2343</v>
      </c>
      <c r="ACK1" s="104" t="s">
        <v>2736</v>
      </c>
      <c r="ACL1" s="104" t="s">
        <v>2737</v>
      </c>
      <c r="ACM1" s="104" t="s">
        <v>2522</v>
      </c>
      <c r="ACN1" s="104" t="s">
        <v>2317</v>
      </c>
      <c r="ACO1" s="104" t="s">
        <v>2343</v>
      </c>
      <c r="ACP1" s="134" t="s">
        <v>2653</v>
      </c>
      <c r="ACQ1" s="104" t="s">
        <v>2327</v>
      </c>
      <c r="ACR1" s="104" t="s">
        <v>2343</v>
      </c>
      <c r="ACS1" s="134" t="s">
        <v>2681</v>
      </c>
      <c r="ACT1" s="104" t="s">
        <v>2738</v>
      </c>
      <c r="ACU1" s="104" t="s">
        <v>2739</v>
      </c>
      <c r="ACV1" s="104" t="s">
        <v>2416</v>
      </c>
      <c r="ACW1" s="104" t="s">
        <v>2640</v>
      </c>
      <c r="ACX1" s="134" t="s">
        <v>2740</v>
      </c>
      <c r="ACY1" s="104" t="s">
        <v>2621</v>
      </c>
      <c r="ACZ1" s="104" t="s">
        <v>2323</v>
      </c>
      <c r="ADA1" s="104" t="s">
        <v>2687</v>
      </c>
      <c r="ADB1" s="104" t="s">
        <v>2741</v>
      </c>
      <c r="ADC1" s="104" t="s">
        <v>2501</v>
      </c>
      <c r="ADD1" s="134" t="s">
        <v>2742</v>
      </c>
      <c r="ADE1" s="104" t="s">
        <v>2373</v>
      </c>
      <c r="ADF1" s="104" t="s">
        <v>2343</v>
      </c>
      <c r="ADG1" s="104" t="s">
        <v>2743</v>
      </c>
      <c r="ADH1" s="104" t="s">
        <v>2577</v>
      </c>
      <c r="ADI1" s="104" t="s">
        <v>2357</v>
      </c>
      <c r="ADJ1" s="104" t="s">
        <v>2715</v>
      </c>
      <c r="ADK1" s="104" t="s">
        <v>2744</v>
      </c>
      <c r="ADL1" s="104" t="s">
        <v>2397</v>
      </c>
      <c r="ADM1" s="104" t="s">
        <v>2342</v>
      </c>
      <c r="ADN1" s="104" t="s">
        <v>2725</v>
      </c>
      <c r="ADO1" s="104" t="s">
        <v>2373</v>
      </c>
      <c r="ADP1" s="104" t="s">
        <v>2314</v>
      </c>
      <c r="ADQ1" s="104" t="s">
        <v>2579</v>
      </c>
      <c r="ADR1" s="104" t="s">
        <v>2745</v>
      </c>
      <c r="ADS1" s="104" t="s">
        <v>2746</v>
      </c>
      <c r="ADT1" s="104" t="s">
        <v>2747</v>
      </c>
      <c r="ADU1" s="104" t="s">
        <v>2437</v>
      </c>
      <c r="ADV1" s="104" t="s">
        <v>2343</v>
      </c>
      <c r="ADW1" s="104" t="s">
        <v>2432</v>
      </c>
      <c r="ADX1" s="104" t="s">
        <v>2433</v>
      </c>
      <c r="ADY1" s="104" t="s">
        <v>2319</v>
      </c>
      <c r="ADZ1" s="104" t="s">
        <v>2748</v>
      </c>
      <c r="AEA1" s="134" t="s">
        <v>2749</v>
      </c>
      <c r="AEB1" s="104" t="s">
        <v>2622</v>
      </c>
      <c r="AEC1" s="104" t="s">
        <v>2623</v>
      </c>
      <c r="AED1" s="104" t="s">
        <v>2343</v>
      </c>
      <c r="AEE1" s="134" t="s">
        <v>2750</v>
      </c>
      <c r="AEF1" s="104" t="s">
        <v>2751</v>
      </c>
      <c r="AEG1" s="104" t="s">
        <v>2752</v>
      </c>
      <c r="AEH1" s="104" t="s">
        <v>2653</v>
      </c>
      <c r="AEI1" s="104" t="s">
        <v>2753</v>
      </c>
      <c r="AEJ1" s="104" t="s">
        <v>2361</v>
      </c>
      <c r="AEK1" s="134" t="s">
        <v>2754</v>
      </c>
      <c r="AEL1" s="104" t="s">
        <v>2755</v>
      </c>
      <c r="AEM1" s="104" t="s">
        <v>2683</v>
      </c>
      <c r="AEN1" s="104" t="s">
        <v>2549</v>
      </c>
      <c r="AEO1" s="104" t="s">
        <v>2314</v>
      </c>
      <c r="AEP1" s="104" t="s">
        <v>2756</v>
      </c>
      <c r="AEQ1" s="104" t="s">
        <v>2339</v>
      </c>
      <c r="AER1" s="104" t="s">
        <v>2686</v>
      </c>
      <c r="AES1" s="104" t="s">
        <v>2313</v>
      </c>
      <c r="AET1" s="104" t="s">
        <v>2343</v>
      </c>
      <c r="AEU1" s="104" t="s">
        <v>2757</v>
      </c>
      <c r="AEV1" s="104" t="s">
        <v>2577</v>
      </c>
      <c r="AEW1" s="134" t="s">
        <v>2758</v>
      </c>
      <c r="AEX1" s="104" t="s">
        <v>2759</v>
      </c>
      <c r="AEY1" s="104" t="s">
        <v>2343</v>
      </c>
      <c r="AEZ1" s="104" t="s">
        <v>2760</v>
      </c>
      <c r="AFA1" s="104" t="s">
        <v>2761</v>
      </c>
      <c r="AFB1" s="104" t="s">
        <v>2424</v>
      </c>
      <c r="AFC1" s="104" t="s">
        <v>2762</v>
      </c>
      <c r="AFD1" s="104" t="s">
        <v>2763</v>
      </c>
      <c r="AFE1" s="104" t="s">
        <v>2437</v>
      </c>
      <c r="AFF1" s="104" t="s">
        <v>2343</v>
      </c>
      <c r="AFG1" s="104" t="s">
        <v>2764</v>
      </c>
      <c r="AFH1" s="104" t="s">
        <v>2643</v>
      </c>
      <c r="AFI1" s="104" t="s">
        <v>2765</v>
      </c>
      <c r="AFJ1" s="104" t="s">
        <v>2766</v>
      </c>
      <c r="AFK1" s="104" t="s">
        <v>2496</v>
      </c>
      <c r="AFL1" s="104" t="s">
        <v>2497</v>
      </c>
      <c r="AFM1" s="104" t="s">
        <v>2373</v>
      </c>
      <c r="AFN1" s="104" t="s">
        <v>2767</v>
      </c>
      <c r="AFO1" s="104" t="s">
        <v>2768</v>
      </c>
      <c r="AFP1" s="104" t="s">
        <v>2769</v>
      </c>
      <c r="AFQ1" s="104" t="s">
        <v>2343</v>
      </c>
      <c r="AFR1" s="104" t="s">
        <v>2770</v>
      </c>
      <c r="AFS1" s="104" t="s">
        <v>2771</v>
      </c>
      <c r="AFT1" s="104" t="s">
        <v>2552</v>
      </c>
      <c r="AFU1" s="104" t="s">
        <v>2322</v>
      </c>
      <c r="AFV1" s="104" t="s">
        <v>2772</v>
      </c>
      <c r="AFW1" s="104" t="s">
        <v>2471</v>
      </c>
      <c r="AFX1" s="104" t="s">
        <v>2470</v>
      </c>
      <c r="AFY1" s="104" t="s">
        <v>2773</v>
      </c>
      <c r="AFZ1" s="104" t="s">
        <v>2336</v>
      </c>
      <c r="AGA1" s="104" t="s">
        <v>2774</v>
      </c>
      <c r="AGB1" s="104" t="s">
        <v>2775</v>
      </c>
      <c r="AGC1" s="104" t="s">
        <v>2776</v>
      </c>
      <c r="AGD1" s="104" t="s">
        <v>2437</v>
      </c>
      <c r="AGE1" s="104" t="s">
        <v>2315</v>
      </c>
      <c r="AGF1" s="104" t="s">
        <v>2318</v>
      </c>
      <c r="AGG1" s="104" t="s">
        <v>2327</v>
      </c>
      <c r="AGH1" s="104" t="s">
        <v>2334</v>
      </c>
      <c r="AGI1" s="104" t="s">
        <v>2442</v>
      </c>
      <c r="AGJ1" s="104" t="s">
        <v>2777</v>
      </c>
      <c r="AGK1" s="104" t="s">
        <v>2322</v>
      </c>
      <c r="AGL1" s="104" t="s">
        <v>2342</v>
      </c>
      <c r="AGM1" s="104" t="s">
        <v>2725</v>
      </c>
      <c r="AGN1" s="104" t="s">
        <v>2323</v>
      </c>
      <c r="AGO1" s="104" t="s">
        <v>2326</v>
      </c>
      <c r="AGP1" s="104" t="s">
        <v>2511</v>
      </c>
      <c r="AGQ1" s="104" t="s">
        <v>2778</v>
      </c>
      <c r="AGR1" s="104" t="s">
        <v>2779</v>
      </c>
      <c r="AGS1" s="104" t="s">
        <v>2327</v>
      </c>
      <c r="AGT1" s="104" t="s">
        <v>2780</v>
      </c>
      <c r="AGU1" s="104" t="s">
        <v>2313</v>
      </c>
      <c r="AGV1" s="104" t="s">
        <v>2518</v>
      </c>
      <c r="AGW1" s="104" t="s">
        <v>2327</v>
      </c>
      <c r="AGX1" s="104" t="s">
        <v>2339</v>
      </c>
      <c r="AGY1" s="104" t="s">
        <v>2410</v>
      </c>
      <c r="AGZ1" s="104" t="s">
        <v>2781</v>
      </c>
      <c r="AHA1" s="104" t="s">
        <v>2782</v>
      </c>
      <c r="AHB1" s="104" t="s">
        <v>2075</v>
      </c>
      <c r="AHC1" s="104" t="s">
        <v>2322</v>
      </c>
      <c r="AHD1" s="104" t="s">
        <v>2359</v>
      </c>
      <c r="AHE1" s="104" t="s">
        <v>2314</v>
      </c>
      <c r="AHF1" s="104" t="s">
        <v>2543</v>
      </c>
      <c r="AHG1" s="104" t="s">
        <v>2722</v>
      </c>
      <c r="AHH1" s="104" t="s">
        <v>2565</v>
      </c>
      <c r="AHI1" s="134" t="s">
        <v>2783</v>
      </c>
      <c r="AHJ1" s="104" t="s">
        <v>2345</v>
      </c>
      <c r="AHK1" s="104" t="s">
        <v>2784</v>
      </c>
      <c r="AHL1" s="104" t="s">
        <v>2353</v>
      </c>
      <c r="AHM1" s="104" t="s">
        <v>2343</v>
      </c>
      <c r="AHN1" s="104" t="s">
        <v>2785</v>
      </c>
      <c r="AHO1" s="104" t="s">
        <v>2317</v>
      </c>
      <c r="AHP1" s="104" t="s">
        <v>2786</v>
      </c>
      <c r="AHQ1" s="104" t="s">
        <v>2382</v>
      </c>
      <c r="AHR1" s="104" t="s">
        <v>2708</v>
      </c>
      <c r="AHS1" s="104" t="s">
        <v>2361</v>
      </c>
      <c r="AHT1" s="104" t="s">
        <v>2313</v>
      </c>
      <c r="AHU1" s="104" t="s">
        <v>2787</v>
      </c>
      <c r="AHV1" s="104" t="s">
        <v>2788</v>
      </c>
      <c r="AHW1" s="104" t="s">
        <v>2789</v>
      </c>
      <c r="AHX1" s="104" t="s">
        <v>2336</v>
      </c>
      <c r="AHY1" s="104" t="s">
        <v>2357</v>
      </c>
      <c r="AHZ1" s="104" t="s">
        <v>2790</v>
      </c>
      <c r="AIA1" s="104" t="s">
        <v>2557</v>
      </c>
      <c r="AIB1" s="104" t="s">
        <v>2336</v>
      </c>
      <c r="AIC1" s="104" t="s">
        <v>2385</v>
      </c>
      <c r="AID1" s="104" t="s">
        <v>2791</v>
      </c>
      <c r="AIE1" s="104" t="s">
        <v>2792</v>
      </c>
      <c r="AIF1" s="104" t="s">
        <v>2361</v>
      </c>
      <c r="AIG1" s="104" t="s">
        <v>2793</v>
      </c>
      <c r="AIH1" s="104" t="s">
        <v>2794</v>
      </c>
      <c r="AII1" s="104" t="s">
        <v>2795</v>
      </c>
      <c r="AIJ1" s="104" t="s">
        <v>2796</v>
      </c>
      <c r="AIK1" s="104" t="s">
        <v>2460</v>
      </c>
      <c r="AIL1" s="104" t="s">
        <v>2797</v>
      </c>
      <c r="AIM1" s="104" t="s">
        <v>2372</v>
      </c>
      <c r="AIN1" s="104" t="s">
        <v>2373</v>
      </c>
      <c r="AIO1" s="104" t="s">
        <v>2314</v>
      </c>
      <c r="AIP1" s="104" t="s">
        <v>2798</v>
      </c>
      <c r="AIQ1" s="104" t="s">
        <v>2799</v>
      </c>
      <c r="AIR1" s="104" t="s">
        <v>2800</v>
      </c>
      <c r="AIS1" s="104" t="s">
        <v>2801</v>
      </c>
      <c r="AIT1" s="104" t="s">
        <v>2802</v>
      </c>
      <c r="AIU1" s="104" t="s">
        <v>2496</v>
      </c>
      <c r="AIV1" s="104" t="s">
        <v>2803</v>
      </c>
      <c r="AIW1" s="104" t="s">
        <v>2804</v>
      </c>
      <c r="AIX1" s="104">
        <v>3.0</v>
      </c>
      <c r="AIY1" s="104" t="s">
        <v>2805</v>
      </c>
      <c r="AIZ1" s="104" t="s">
        <v>2806</v>
      </c>
      <c r="AJA1" s="104" t="s">
        <v>2462</v>
      </c>
      <c r="AJB1" s="104" t="s">
        <v>2807</v>
      </c>
      <c r="AJC1" s="104" t="s">
        <v>2322</v>
      </c>
      <c r="AJD1" s="104" t="s">
        <v>2808</v>
      </c>
      <c r="AJE1" s="104" t="s">
        <v>2809</v>
      </c>
      <c r="AJF1" s="104" t="s">
        <v>2810</v>
      </c>
      <c r="AJG1" s="104" t="s">
        <v>2811</v>
      </c>
      <c r="AJH1" s="104" t="s">
        <v>2724</v>
      </c>
      <c r="AJI1" s="104" t="s">
        <v>2725</v>
      </c>
      <c r="AJJ1" s="104" t="s">
        <v>2812</v>
      </c>
      <c r="AJK1" s="104" t="s">
        <v>2813</v>
      </c>
      <c r="AJL1" s="104" t="s">
        <v>2814</v>
      </c>
      <c r="AJM1" s="104" t="s">
        <v>2343</v>
      </c>
      <c r="AJN1" s="104" t="s">
        <v>2422</v>
      </c>
      <c r="AJO1" s="104" t="s">
        <v>2815</v>
      </c>
      <c r="AJP1" s="104" t="s">
        <v>2429</v>
      </c>
      <c r="AJQ1" s="104" t="s">
        <v>823</v>
      </c>
      <c r="AJR1" s="104" t="s">
        <v>2581</v>
      </c>
      <c r="AJS1" s="104" t="s">
        <v>2582</v>
      </c>
      <c r="AJT1" s="104" t="s">
        <v>2343</v>
      </c>
      <c r="AJU1" s="104" t="s">
        <v>2432</v>
      </c>
      <c r="AJV1" s="104" t="s">
        <v>823</v>
      </c>
      <c r="AJW1" s="104" t="s">
        <v>2816</v>
      </c>
      <c r="AJX1" s="104" t="s">
        <v>2319</v>
      </c>
      <c r="AJY1" s="104" t="s">
        <v>2817</v>
      </c>
      <c r="AJZ1" s="104" t="s">
        <v>2442</v>
      </c>
      <c r="AKA1" s="104" t="s">
        <v>2818</v>
      </c>
      <c r="AKB1" s="104" t="s">
        <v>2389</v>
      </c>
      <c r="AKC1" s="104" t="s">
        <v>2819</v>
      </c>
      <c r="AKD1" s="104" t="s">
        <v>2315</v>
      </c>
      <c r="AKE1" s="104" t="s">
        <v>2820</v>
      </c>
      <c r="AKF1" s="104" t="s">
        <v>2821</v>
      </c>
      <c r="AKG1" s="104" t="s">
        <v>2416</v>
      </c>
      <c r="AKH1" s="104" t="s">
        <v>2323</v>
      </c>
      <c r="AKI1" s="104" t="s">
        <v>2345</v>
      </c>
      <c r="AKJ1" s="104" t="s">
        <v>2822</v>
      </c>
      <c r="AKK1" s="104" t="s">
        <v>2327</v>
      </c>
      <c r="AKL1" s="104" t="s">
        <v>2328</v>
      </c>
      <c r="AKM1" s="104" t="s">
        <v>2823</v>
      </c>
      <c r="AKN1" s="104" t="s">
        <v>2824</v>
      </c>
      <c r="AKO1" s="104" t="s">
        <v>2825</v>
      </c>
      <c r="AKP1" s="134" t="s">
        <v>2826</v>
      </c>
      <c r="AKQ1" s="104" t="s">
        <v>2827</v>
      </c>
      <c r="AKR1" s="104" t="s">
        <v>2373</v>
      </c>
      <c r="AKS1" s="104" t="s">
        <v>2314</v>
      </c>
      <c r="AKT1" s="104" t="s">
        <v>2448</v>
      </c>
      <c r="AKU1" s="104" t="s">
        <v>2737</v>
      </c>
      <c r="AKV1" s="104" t="s">
        <v>2828</v>
      </c>
      <c r="AKW1" s="104" t="s">
        <v>2437</v>
      </c>
      <c r="AKX1" s="104" t="s">
        <v>2469</v>
      </c>
      <c r="AKY1" s="104" t="s">
        <v>2327</v>
      </c>
      <c r="AKZ1" s="104" t="s">
        <v>2619</v>
      </c>
      <c r="ALA1" s="104" t="s">
        <v>2829</v>
      </c>
      <c r="ALB1" s="104" t="s">
        <v>2437</v>
      </c>
      <c r="ALC1" s="104" t="s">
        <v>2432</v>
      </c>
      <c r="ALD1" s="104" t="s">
        <v>823</v>
      </c>
      <c r="ALE1" s="104" t="s">
        <v>2816</v>
      </c>
      <c r="ALF1" s="104" t="s">
        <v>2327</v>
      </c>
      <c r="ALG1" s="104" t="s">
        <v>2429</v>
      </c>
      <c r="ALH1" s="104" t="s">
        <v>2830</v>
      </c>
      <c r="ALI1" s="104" t="s">
        <v>2831</v>
      </c>
      <c r="ALJ1" s="104" t="s">
        <v>2832</v>
      </c>
      <c r="ALK1" s="104" t="s">
        <v>2339</v>
      </c>
      <c r="ALL1" s="104" t="s">
        <v>2833</v>
      </c>
      <c r="ALM1" s="104" t="s">
        <v>2319</v>
      </c>
      <c r="ALN1" s="104" t="s">
        <v>2504</v>
      </c>
      <c r="ALO1" s="104" t="s">
        <v>2834</v>
      </c>
      <c r="ALP1" s="104" t="s">
        <v>2327</v>
      </c>
      <c r="ALQ1" s="104" t="s">
        <v>2835</v>
      </c>
      <c r="ALR1" s="104" t="s">
        <v>2343</v>
      </c>
      <c r="ALS1" s="104" t="s">
        <v>2485</v>
      </c>
      <c r="ALT1" s="104" t="s">
        <v>2313</v>
      </c>
      <c r="ALU1" s="104" t="s">
        <v>2343</v>
      </c>
      <c r="ALV1" s="104" t="s">
        <v>2836</v>
      </c>
      <c r="ALW1" s="104" t="s">
        <v>2837</v>
      </c>
      <c r="ALX1" s="104" t="s">
        <v>2577</v>
      </c>
      <c r="ALY1" s="104" t="s">
        <v>2641</v>
      </c>
      <c r="ALZ1" s="104" t="s">
        <v>2838</v>
      </c>
      <c r="AMA1" s="104" t="s">
        <v>2497</v>
      </c>
      <c r="AMB1" s="104" t="s">
        <v>2373</v>
      </c>
      <c r="AMC1" s="104" t="s">
        <v>2839</v>
      </c>
      <c r="AMD1" s="104" t="s">
        <v>2840</v>
      </c>
      <c r="AME1" s="104" t="s">
        <v>2416</v>
      </c>
      <c r="AMF1" s="104" t="s">
        <v>2323</v>
      </c>
      <c r="AMG1" s="104" t="s">
        <v>2779</v>
      </c>
      <c r="AMH1" s="104" t="s">
        <v>2325</v>
      </c>
      <c r="AMI1" s="104" t="s">
        <v>2327</v>
      </c>
      <c r="AMJ1" s="104" t="s">
        <v>2841</v>
      </c>
      <c r="AMK1" s="104" t="s">
        <v>2710</v>
      </c>
      <c r="AML1" s="104" t="s">
        <v>2842</v>
      </c>
      <c r="AMM1" s="104" t="s">
        <v>2319</v>
      </c>
      <c r="AMN1" s="104" t="s">
        <v>2843</v>
      </c>
      <c r="AMO1" s="134" t="s">
        <v>2844</v>
      </c>
      <c r="AMP1" s="104" t="s">
        <v>2845</v>
      </c>
      <c r="AMQ1" s="104" t="s">
        <v>2315</v>
      </c>
      <c r="AMR1" s="104" t="s">
        <v>2846</v>
      </c>
      <c r="AMS1" s="104" t="s">
        <v>2323</v>
      </c>
      <c r="AMT1" s="104" t="s">
        <v>2314</v>
      </c>
      <c r="AMU1" s="104" t="s">
        <v>2847</v>
      </c>
      <c r="AMV1" s="104" t="s">
        <v>2848</v>
      </c>
      <c r="AMW1" s="104" t="s">
        <v>2543</v>
      </c>
      <c r="AMX1" s="104" t="s">
        <v>2722</v>
      </c>
      <c r="AMY1" s="104" t="s">
        <v>2696</v>
      </c>
      <c r="AMZ1" s="104" t="s">
        <v>2849</v>
      </c>
      <c r="ANA1" s="104" t="s">
        <v>2850</v>
      </c>
      <c r="ANB1" s="104" t="s">
        <v>2851</v>
      </c>
      <c r="ANC1" s="104" t="s">
        <v>2328</v>
      </c>
      <c r="AND1" s="104" t="s">
        <v>2852</v>
      </c>
      <c r="ANE1" s="104" t="s">
        <v>2853</v>
      </c>
      <c r="ANF1" s="104" t="s">
        <v>2327</v>
      </c>
      <c r="ANG1" s="104" t="s">
        <v>2854</v>
      </c>
      <c r="ANH1" s="104" t="s">
        <v>2855</v>
      </c>
      <c r="ANI1" s="104" t="s">
        <v>2856</v>
      </c>
      <c r="ANJ1" s="104" t="s">
        <v>2313</v>
      </c>
      <c r="ANK1" s="104" t="s">
        <v>2344</v>
      </c>
      <c r="ANL1" s="104" t="s">
        <v>2336</v>
      </c>
      <c r="ANM1" s="104" t="s">
        <v>2314</v>
      </c>
      <c r="ANN1" s="104" t="s">
        <v>2354</v>
      </c>
      <c r="ANO1" s="104" t="s">
        <v>2832</v>
      </c>
      <c r="ANP1" s="104" t="s">
        <v>2857</v>
      </c>
      <c r="ANQ1" s="104" t="s">
        <v>2349</v>
      </c>
      <c r="ANR1" s="104" t="s">
        <v>2858</v>
      </c>
      <c r="ANS1" s="104" t="s">
        <v>2859</v>
      </c>
      <c r="ANT1" s="104" t="s">
        <v>2356</v>
      </c>
      <c r="ANU1" s="104" t="s">
        <v>2860</v>
      </c>
      <c r="ANV1" s="104" t="s">
        <v>2861</v>
      </c>
      <c r="ANW1" s="104" t="s">
        <v>2862</v>
      </c>
      <c r="ANX1" s="104" t="s">
        <v>2327</v>
      </c>
      <c r="ANY1" s="104" t="s">
        <v>2334</v>
      </c>
      <c r="ANZ1" s="104" t="s">
        <v>2863</v>
      </c>
      <c r="AOA1" s="104" t="s">
        <v>2864</v>
      </c>
      <c r="AOB1" s="104" t="s">
        <v>2317</v>
      </c>
      <c r="AOC1" s="104" t="s">
        <v>2322</v>
      </c>
      <c r="AOD1" s="104" t="s">
        <v>2359</v>
      </c>
      <c r="AOE1" s="135">
        <v>45659.0</v>
      </c>
      <c r="AOF1" s="104" t="s">
        <v>2543</v>
      </c>
      <c r="AOG1" s="104" t="s">
        <v>2805</v>
      </c>
      <c r="AOH1" s="104" t="s">
        <v>2865</v>
      </c>
      <c r="AOI1" s="104" t="s">
        <v>2313</v>
      </c>
      <c r="AOJ1" s="104" t="s">
        <v>2366</v>
      </c>
      <c r="AOK1" s="104" t="s">
        <v>2367</v>
      </c>
      <c r="AOL1" s="104" t="s">
        <v>2361</v>
      </c>
      <c r="AOM1" s="104" t="s">
        <v>2772</v>
      </c>
      <c r="AON1" s="104" t="s">
        <v>2314</v>
      </c>
      <c r="AOO1" s="134" t="s">
        <v>2866</v>
      </c>
      <c r="AOP1" s="104" t="s">
        <v>2369</v>
      </c>
      <c r="AOQ1" s="104" t="s">
        <v>2370</v>
      </c>
      <c r="AOR1" s="104" t="s">
        <v>2867</v>
      </c>
      <c r="AOS1" s="104" t="s">
        <v>2379</v>
      </c>
      <c r="AOT1" s="104" t="s">
        <v>2868</v>
      </c>
      <c r="AOU1" s="104" t="s">
        <v>2869</v>
      </c>
      <c r="AOV1" s="104" t="s">
        <v>2336</v>
      </c>
      <c r="AOW1" s="104" t="s">
        <v>2870</v>
      </c>
      <c r="AOX1" s="104" t="s">
        <v>2871</v>
      </c>
      <c r="AOY1" s="104" t="s">
        <v>2317</v>
      </c>
      <c r="AOZ1" s="104" t="s">
        <v>2872</v>
      </c>
      <c r="APA1" s="104" t="s">
        <v>2873</v>
      </c>
      <c r="APB1" s="104" t="s">
        <v>2373</v>
      </c>
      <c r="APC1" s="104" t="s">
        <v>2874</v>
      </c>
      <c r="APD1" s="104" t="s">
        <v>2875</v>
      </c>
      <c r="APE1" s="104" t="s">
        <v>2313</v>
      </c>
      <c r="APF1" s="104" t="s">
        <v>2876</v>
      </c>
      <c r="APG1" s="104" t="s">
        <v>2437</v>
      </c>
      <c r="APH1" s="104" t="s">
        <v>2877</v>
      </c>
      <c r="API1" s="104" t="s">
        <v>2878</v>
      </c>
      <c r="APJ1" s="104" t="s">
        <v>2353</v>
      </c>
      <c r="APK1" s="104">
        <v>2026.0</v>
      </c>
      <c r="APL1" s="104" t="s">
        <v>2560</v>
      </c>
      <c r="APM1" s="104" t="s">
        <v>2373</v>
      </c>
      <c r="APN1" s="104">
        <v>11.0</v>
      </c>
      <c r="APO1" s="104" t="s">
        <v>2879</v>
      </c>
      <c r="APP1" s="104" t="s">
        <v>2452</v>
      </c>
      <c r="APQ1" s="104" t="s">
        <v>2499</v>
      </c>
      <c r="APR1" s="104" t="s">
        <v>2880</v>
      </c>
      <c r="APS1" s="134" t="s">
        <v>2403</v>
      </c>
      <c r="APT1" s="104" t="s">
        <v>2881</v>
      </c>
      <c r="APU1" s="104" t="s">
        <v>2882</v>
      </c>
      <c r="APV1" s="104" t="s">
        <v>2883</v>
      </c>
      <c r="APW1" s="104" t="s">
        <v>2884</v>
      </c>
      <c r="APX1" s="104" t="s">
        <v>2437</v>
      </c>
      <c r="APY1" s="104" t="s">
        <v>2885</v>
      </c>
      <c r="APZ1" s="104" t="s">
        <v>2416</v>
      </c>
      <c r="AQA1" s="104" t="s">
        <v>2808</v>
      </c>
      <c r="AQB1" s="104" t="s">
        <v>2440</v>
      </c>
      <c r="AQC1" s="104" t="s">
        <v>2886</v>
      </c>
      <c r="AQD1" s="104" t="s">
        <v>2327</v>
      </c>
      <c r="AQE1" s="104" t="s">
        <v>2427</v>
      </c>
      <c r="AQF1" s="104" t="s">
        <v>2887</v>
      </c>
      <c r="AQG1" s="104" t="s">
        <v>2320</v>
      </c>
      <c r="AQH1" s="104" t="s">
        <v>2422</v>
      </c>
      <c r="AQI1" s="104" t="s">
        <v>2888</v>
      </c>
      <c r="AQJ1" s="104" t="s">
        <v>2429</v>
      </c>
      <c r="AQK1" s="104" t="s">
        <v>2430</v>
      </c>
      <c r="AQL1" s="104" t="s">
        <v>2373</v>
      </c>
      <c r="AQM1" s="104" t="s">
        <v>2431</v>
      </c>
      <c r="AQN1" s="104" t="s">
        <v>2353</v>
      </c>
      <c r="AQO1" s="104" t="s">
        <v>2889</v>
      </c>
      <c r="AQP1" s="104" t="s">
        <v>2890</v>
      </c>
      <c r="AQQ1" s="104" t="s">
        <v>2603</v>
      </c>
      <c r="AQR1" s="104" t="s">
        <v>2377</v>
      </c>
      <c r="AQS1" s="104" t="s">
        <v>2891</v>
      </c>
      <c r="AQT1" s="104" t="s">
        <v>2892</v>
      </c>
      <c r="AQU1" s="104" t="s">
        <v>2460</v>
      </c>
      <c r="AQV1" s="104" t="s">
        <v>2461</v>
      </c>
      <c r="AQW1" s="104" t="s">
        <v>2462</v>
      </c>
      <c r="AQX1" s="104" t="s">
        <v>2463</v>
      </c>
      <c r="AQY1" s="104" t="s">
        <v>2893</v>
      </c>
      <c r="AQZ1" s="104" t="s">
        <v>2424</v>
      </c>
      <c r="ARA1" s="104" t="s">
        <v>2373</v>
      </c>
      <c r="ARB1" s="104" t="s">
        <v>2314</v>
      </c>
      <c r="ARC1" s="104" t="s">
        <v>2894</v>
      </c>
      <c r="ARD1" s="104" t="s">
        <v>2895</v>
      </c>
      <c r="ARE1" s="104" t="s">
        <v>2896</v>
      </c>
      <c r="ARF1" s="104" t="s">
        <v>2331</v>
      </c>
      <c r="ARG1" s="104" t="s">
        <v>2897</v>
      </c>
      <c r="ARH1" s="104" t="s">
        <v>2322</v>
      </c>
      <c r="ARI1" s="104" t="s">
        <v>2898</v>
      </c>
      <c r="ARJ1" s="104" t="s">
        <v>2313</v>
      </c>
      <c r="ARK1" s="104" t="s">
        <v>2462</v>
      </c>
      <c r="ARL1" s="104" t="s">
        <v>2899</v>
      </c>
      <c r="ARM1" s="104" t="s">
        <v>2549</v>
      </c>
      <c r="ARN1" s="104" t="s">
        <v>2900</v>
      </c>
      <c r="ARO1" s="104" t="s">
        <v>2455</v>
      </c>
      <c r="ARP1" s="104" t="s">
        <v>2331</v>
      </c>
      <c r="ARQ1" s="104" t="s">
        <v>2901</v>
      </c>
      <c r="ARR1" s="104" t="s">
        <v>2902</v>
      </c>
      <c r="ARS1" s="104" t="s">
        <v>2437</v>
      </c>
      <c r="ART1" s="104" t="s">
        <v>2889</v>
      </c>
      <c r="ARU1" s="104" t="s">
        <v>2903</v>
      </c>
      <c r="ARV1" s="104" t="s">
        <v>2469</v>
      </c>
      <c r="ARW1" s="104" t="s">
        <v>2470</v>
      </c>
      <c r="ARX1" s="104" t="s">
        <v>2327</v>
      </c>
      <c r="ARY1" s="104" t="s">
        <v>2904</v>
      </c>
      <c r="ARZ1" s="104" t="s">
        <v>2437</v>
      </c>
      <c r="ASA1" s="104" t="s">
        <v>2334</v>
      </c>
      <c r="ASB1" s="104" t="s">
        <v>2493</v>
      </c>
      <c r="ASC1" s="104" t="s">
        <v>2905</v>
      </c>
      <c r="ASD1" s="104" t="s">
        <v>2626</v>
      </c>
      <c r="ASE1" s="104" t="s">
        <v>2906</v>
      </c>
      <c r="ASF1" s="104" t="s">
        <v>2327</v>
      </c>
      <c r="ASG1" s="104" t="s">
        <v>2518</v>
      </c>
      <c r="ASH1" s="104" t="s">
        <v>2907</v>
      </c>
      <c r="ASI1" s="104" t="s">
        <v>2319</v>
      </c>
      <c r="ASJ1" s="104" t="s">
        <v>2479</v>
      </c>
      <c r="ASK1" s="104" t="s">
        <v>2908</v>
      </c>
      <c r="ASL1" s="104" t="s">
        <v>2343</v>
      </c>
      <c r="ASM1" s="134" t="s">
        <v>2844</v>
      </c>
      <c r="ASN1" s="104" t="s">
        <v>2313</v>
      </c>
      <c r="ASO1" s="104" t="s">
        <v>2683</v>
      </c>
      <c r="ASP1" s="104" t="s">
        <v>2909</v>
      </c>
      <c r="ASQ1" s="104" t="s">
        <v>2910</v>
      </c>
      <c r="ASR1" s="104" t="s">
        <v>2911</v>
      </c>
      <c r="ASS1" s="104" t="s">
        <v>2912</v>
      </c>
      <c r="AST1" s="104" t="s">
        <v>2913</v>
      </c>
      <c r="ASU1" s="104" t="s">
        <v>2456</v>
      </c>
      <c r="ASV1" s="104" t="s">
        <v>2497</v>
      </c>
      <c r="ASW1" s="104" t="s">
        <v>2914</v>
      </c>
      <c r="ASX1" s="104" t="s">
        <v>2915</v>
      </c>
      <c r="ASY1" s="104" t="s">
        <v>2416</v>
      </c>
      <c r="ASZ1" s="104" t="s">
        <v>2513</v>
      </c>
      <c r="ATA1" s="104" t="s">
        <v>2916</v>
      </c>
      <c r="ATB1" s="104" t="s">
        <v>2442</v>
      </c>
      <c r="ATC1" s="104" t="s">
        <v>2917</v>
      </c>
      <c r="ATD1" s="104" t="s">
        <v>2918</v>
      </c>
      <c r="ATE1" s="104" t="s">
        <v>2314</v>
      </c>
      <c r="ATF1" s="104" t="s">
        <v>2334</v>
      </c>
      <c r="ATG1" s="104" t="s">
        <v>2919</v>
      </c>
      <c r="ATH1" s="104" t="s">
        <v>2491</v>
      </c>
      <c r="ATI1" s="104" t="s">
        <v>2920</v>
      </c>
      <c r="ATJ1" s="104" t="s">
        <v>2327</v>
      </c>
      <c r="ATK1" s="104" t="s">
        <v>2314</v>
      </c>
      <c r="ATL1" s="104" t="s">
        <v>2921</v>
      </c>
      <c r="ATM1" s="104" t="s">
        <v>2922</v>
      </c>
      <c r="ATN1" s="134" t="s">
        <v>2923</v>
      </c>
      <c r="ATO1" s="104" t="s">
        <v>2845</v>
      </c>
      <c r="ATP1" s="104" t="s">
        <v>2315</v>
      </c>
      <c r="ATQ1" s="104" t="s">
        <v>2924</v>
      </c>
      <c r="ATR1" s="104" t="s">
        <v>2373</v>
      </c>
      <c r="ATS1" s="104" t="s">
        <v>2314</v>
      </c>
      <c r="ATT1" s="104" t="s">
        <v>2579</v>
      </c>
      <c r="ATU1" s="104" t="s">
        <v>2925</v>
      </c>
      <c r="ATV1" s="104" t="s">
        <v>2848</v>
      </c>
      <c r="ATW1" s="104" t="s">
        <v>2543</v>
      </c>
      <c r="ATX1" s="104" t="s">
        <v>2722</v>
      </c>
      <c r="ATY1" s="104" t="s">
        <v>2926</v>
      </c>
      <c r="ATZ1" s="104" t="s">
        <v>2323</v>
      </c>
      <c r="AUA1" s="104" t="s">
        <v>2779</v>
      </c>
      <c r="AUB1" s="104" t="s">
        <v>2927</v>
      </c>
      <c r="AUC1" s="104" t="s">
        <v>2928</v>
      </c>
      <c r="AUD1" s="104" t="s">
        <v>2327</v>
      </c>
      <c r="AUE1" s="104" t="s">
        <v>2328</v>
      </c>
      <c r="AUF1" s="104" t="s">
        <v>2852</v>
      </c>
      <c r="AUG1" s="104" t="s">
        <v>2853</v>
      </c>
      <c r="AUH1" s="104" t="s">
        <v>2327</v>
      </c>
      <c r="AUI1" s="104" t="s">
        <v>2929</v>
      </c>
      <c r="AUJ1" s="104" t="s">
        <v>2333</v>
      </c>
      <c r="AUK1" s="104" t="s">
        <v>2323</v>
      </c>
      <c r="AUL1" s="104" t="s">
        <v>2537</v>
      </c>
      <c r="AUM1" s="104" t="s">
        <v>2313</v>
      </c>
      <c r="AUN1" s="104" t="s">
        <v>2339</v>
      </c>
      <c r="AUO1" s="104" t="s">
        <v>2930</v>
      </c>
      <c r="AUP1" s="104" t="s">
        <v>2327</v>
      </c>
      <c r="AUQ1" s="104" t="s">
        <v>2931</v>
      </c>
      <c r="AUR1" s="104" t="s">
        <v>2932</v>
      </c>
      <c r="AUS1" s="104" t="s">
        <v>2933</v>
      </c>
      <c r="AUT1" s="104" t="s">
        <v>2934</v>
      </c>
      <c r="AUU1" s="104" t="s">
        <v>2333</v>
      </c>
      <c r="AUV1" s="104" t="s">
        <v>2323</v>
      </c>
      <c r="AUW1" s="104" t="s">
        <v>2514</v>
      </c>
      <c r="AUX1" s="104" t="s">
        <v>2935</v>
      </c>
      <c r="AUY1" s="104" t="s">
        <v>2353</v>
      </c>
      <c r="AUZ1" s="104" t="s">
        <v>2522</v>
      </c>
      <c r="AVA1" s="104" t="s">
        <v>2859</v>
      </c>
      <c r="AVB1" s="104" t="s">
        <v>2353</v>
      </c>
      <c r="AVC1" s="104" t="s">
        <v>2936</v>
      </c>
      <c r="AVD1" s="104" t="s">
        <v>2075</v>
      </c>
      <c r="AVE1" s="104" t="s">
        <v>2359</v>
      </c>
      <c r="AVF1" s="104" t="s">
        <v>2314</v>
      </c>
      <c r="AVG1" s="134" t="s">
        <v>2937</v>
      </c>
      <c r="AVH1" s="104" t="s">
        <v>2364</v>
      </c>
      <c r="AVI1" s="104" t="s">
        <v>2394</v>
      </c>
      <c r="AVJ1" s="104" t="s">
        <v>2313</v>
      </c>
      <c r="AVK1" s="104" t="s">
        <v>2366</v>
      </c>
      <c r="AVL1" s="104" t="s">
        <v>2367</v>
      </c>
      <c r="AVM1" s="104" t="s">
        <v>2361</v>
      </c>
      <c r="AVN1" s="104" t="s">
        <v>2772</v>
      </c>
      <c r="AVO1" s="104" t="s">
        <v>2314</v>
      </c>
      <c r="AVP1" s="134" t="s">
        <v>2938</v>
      </c>
      <c r="AVQ1" s="104" t="s">
        <v>2445</v>
      </c>
      <c r="AVR1" s="104" t="s">
        <v>2939</v>
      </c>
      <c r="AVS1" s="104" t="s">
        <v>2848</v>
      </c>
      <c r="AVT1" s="104" t="s">
        <v>2940</v>
      </c>
      <c r="AVU1" s="104" t="s">
        <v>2504</v>
      </c>
      <c r="AVV1" s="104" t="s">
        <v>2336</v>
      </c>
      <c r="AVW1" s="104" t="s">
        <v>2850</v>
      </c>
      <c r="AVX1" s="104" t="s">
        <v>2941</v>
      </c>
      <c r="AVY1" s="104" t="s">
        <v>2379</v>
      </c>
      <c r="AVZ1" s="104" t="s">
        <v>1657</v>
      </c>
      <c r="AWA1" s="104" t="s">
        <v>2942</v>
      </c>
      <c r="AWB1" s="104" t="s">
        <v>2943</v>
      </c>
      <c r="AWC1" s="104" t="s">
        <v>2383</v>
      </c>
      <c r="AWD1" s="104" t="s">
        <v>2336</v>
      </c>
      <c r="AWE1" s="104" t="s">
        <v>2384</v>
      </c>
      <c r="AWF1" s="104" t="s">
        <v>2944</v>
      </c>
      <c r="AWG1" s="104" t="s">
        <v>2327</v>
      </c>
      <c r="AWH1" s="104" t="s">
        <v>2945</v>
      </c>
      <c r="AWI1" s="104" t="s">
        <v>2946</v>
      </c>
      <c r="AWJ1" s="104" t="s">
        <v>2947</v>
      </c>
      <c r="AWK1" s="104" t="s">
        <v>2319</v>
      </c>
      <c r="AWL1" s="104" t="s">
        <v>2948</v>
      </c>
      <c r="AWM1" s="104" t="s">
        <v>2452</v>
      </c>
      <c r="AWN1" s="104" t="s">
        <v>2949</v>
      </c>
      <c r="AWO1" s="104" t="s">
        <v>2499</v>
      </c>
      <c r="AWP1" s="104" t="s">
        <v>2950</v>
      </c>
      <c r="AWQ1" s="104" t="s">
        <v>2951</v>
      </c>
      <c r="AWR1" s="104" t="s">
        <v>2343</v>
      </c>
      <c r="AWS1" s="104" t="s">
        <v>2574</v>
      </c>
      <c r="AWT1" s="104" t="s">
        <v>2935</v>
      </c>
      <c r="AWU1" s="104" t="s">
        <v>2323</v>
      </c>
      <c r="AWV1" s="104" t="s">
        <v>2952</v>
      </c>
      <c r="AWW1" s="104" t="s">
        <v>2397</v>
      </c>
      <c r="AWX1" s="104" t="s">
        <v>2949</v>
      </c>
      <c r="AWY1" s="104" t="s">
        <v>2953</v>
      </c>
      <c r="AWZ1" s="104" t="s">
        <v>2354</v>
      </c>
      <c r="AXA1" s="104" t="s">
        <v>2549</v>
      </c>
      <c r="AXB1" s="104" t="s">
        <v>2684</v>
      </c>
      <c r="AXC1" s="104" t="s">
        <v>2954</v>
      </c>
      <c r="AXD1" s="104" t="s">
        <v>2859</v>
      </c>
      <c r="AXE1" s="104" t="s">
        <v>2684</v>
      </c>
      <c r="AXF1" s="104" t="s">
        <v>2955</v>
      </c>
      <c r="AXG1" s="104" t="s">
        <v>2956</v>
      </c>
      <c r="AXH1" s="104" t="s">
        <v>2957</v>
      </c>
      <c r="AXI1" s="104" t="s">
        <v>2373</v>
      </c>
      <c r="AXJ1" s="104">
        <v>3.0</v>
      </c>
      <c r="AXK1" s="104" t="s">
        <v>2805</v>
      </c>
      <c r="AXL1" s="104" t="s">
        <v>2717</v>
      </c>
      <c r="AXM1" s="104" t="s">
        <v>2958</v>
      </c>
      <c r="AXN1" s="104" t="s">
        <v>2959</v>
      </c>
      <c r="AXO1" s="104" t="s">
        <v>2313</v>
      </c>
      <c r="AXP1" s="104" t="s">
        <v>2343</v>
      </c>
      <c r="AXQ1" s="134" t="s">
        <v>2960</v>
      </c>
      <c r="AXR1" s="104" t="s">
        <v>2961</v>
      </c>
      <c r="AXS1" s="104" t="s">
        <v>2724</v>
      </c>
      <c r="AXT1" s="104" t="s">
        <v>2725</v>
      </c>
      <c r="AXU1" s="104" t="s">
        <v>2323</v>
      </c>
      <c r="AXV1" s="104" t="s">
        <v>2431</v>
      </c>
      <c r="AXW1" s="104" t="s">
        <v>2728</v>
      </c>
      <c r="AXX1" s="104" t="s">
        <v>2343</v>
      </c>
      <c r="AXY1" s="104" t="s">
        <v>2577</v>
      </c>
      <c r="AXZ1" s="134" t="s">
        <v>2962</v>
      </c>
      <c r="AYA1" s="104" t="s">
        <v>2963</v>
      </c>
      <c r="AYB1" s="104" t="s">
        <v>2964</v>
      </c>
      <c r="AYC1" s="104" t="s">
        <v>2715</v>
      </c>
      <c r="AYD1" s="104" t="s">
        <v>2965</v>
      </c>
      <c r="AYE1" s="104" t="s">
        <v>2429</v>
      </c>
      <c r="AYF1" s="104" t="s">
        <v>2373</v>
      </c>
      <c r="AYG1" s="104" t="s">
        <v>2376</v>
      </c>
      <c r="AYH1" s="104" t="s">
        <v>2317</v>
      </c>
      <c r="AYI1" s="104" t="s">
        <v>2343</v>
      </c>
      <c r="AYJ1" s="104" t="s">
        <v>2966</v>
      </c>
      <c r="AYK1" s="104" t="s">
        <v>2967</v>
      </c>
      <c r="AYL1" s="104" t="s">
        <v>2968</v>
      </c>
      <c r="AYM1" s="104" t="s">
        <v>2440</v>
      </c>
      <c r="AYN1" s="104" t="s">
        <v>2343</v>
      </c>
      <c r="AYO1" s="104" t="s">
        <v>2969</v>
      </c>
      <c r="AYP1" s="104" t="s">
        <v>2970</v>
      </c>
      <c r="AYQ1" s="104" t="s">
        <v>2319</v>
      </c>
      <c r="AYR1" s="104" t="s">
        <v>2971</v>
      </c>
      <c r="AYS1" s="104" t="s">
        <v>2501</v>
      </c>
      <c r="AYT1" s="104" t="s">
        <v>2972</v>
      </c>
      <c r="AYU1" s="104" t="s">
        <v>2973</v>
      </c>
      <c r="AYV1" s="104" t="s">
        <v>2974</v>
      </c>
      <c r="AYW1" s="104" t="s">
        <v>2453</v>
      </c>
      <c r="AYX1" s="104" t="s">
        <v>2975</v>
      </c>
      <c r="AYY1" s="104" t="s">
        <v>2976</v>
      </c>
      <c r="AYZ1" s="104" t="s">
        <v>2327</v>
      </c>
      <c r="AZA1" s="104" t="s">
        <v>2977</v>
      </c>
      <c r="AZB1" s="104" t="s">
        <v>2978</v>
      </c>
      <c r="AZC1" s="104" t="s">
        <v>2979</v>
      </c>
      <c r="AZD1" s="104" t="s">
        <v>2980</v>
      </c>
      <c r="AZE1" s="104" t="s">
        <v>2981</v>
      </c>
      <c r="AZF1" s="104" t="s">
        <v>2373</v>
      </c>
      <c r="AZG1" s="104" t="s">
        <v>2314</v>
      </c>
      <c r="AZH1" s="104" t="s">
        <v>2798</v>
      </c>
      <c r="AZI1" s="104" t="s">
        <v>2982</v>
      </c>
      <c r="AZJ1" s="104" t="s">
        <v>2983</v>
      </c>
      <c r="AZK1" s="104" t="s">
        <v>2984</v>
      </c>
      <c r="AZL1" s="104" t="s">
        <v>2604</v>
      </c>
      <c r="AZM1" s="104" t="s">
        <v>2327</v>
      </c>
      <c r="AZN1" s="104" t="s">
        <v>2985</v>
      </c>
      <c r="AZO1" s="104" t="s">
        <v>2345</v>
      </c>
      <c r="AZP1" s="104" t="s">
        <v>2986</v>
      </c>
      <c r="AZQ1" s="104" t="s">
        <v>2336</v>
      </c>
      <c r="AZR1" s="104" t="s">
        <v>2464</v>
      </c>
      <c r="AZS1" s="104" t="s">
        <v>2987</v>
      </c>
      <c r="AZT1" s="134" t="s">
        <v>2923</v>
      </c>
      <c r="AZU1" s="104" t="s">
        <v>2373</v>
      </c>
      <c r="AZV1" s="104" t="s">
        <v>2314</v>
      </c>
      <c r="AZW1" s="104" t="s">
        <v>2448</v>
      </c>
      <c r="AZX1" s="104" t="s">
        <v>2988</v>
      </c>
      <c r="AZY1" s="104" t="s">
        <v>2336</v>
      </c>
      <c r="AZZ1" s="104" t="s">
        <v>2401</v>
      </c>
      <c r="BAA1" s="104" t="s">
        <v>2989</v>
      </c>
      <c r="BAB1" s="104" t="s">
        <v>2990</v>
      </c>
      <c r="BAC1" s="104" t="s">
        <v>2455</v>
      </c>
      <c r="BAD1" s="104" t="s">
        <v>2820</v>
      </c>
      <c r="BAE1" s="104" t="s">
        <v>2991</v>
      </c>
      <c r="BAF1" s="104" t="s">
        <v>2437</v>
      </c>
      <c r="BAG1" s="104" t="s">
        <v>2429</v>
      </c>
      <c r="BAH1" s="104" t="s">
        <v>1674</v>
      </c>
      <c r="BAI1" s="104" t="s">
        <v>2327</v>
      </c>
      <c r="BAJ1" s="104" t="s">
        <v>2992</v>
      </c>
      <c r="BAK1" s="104" t="s">
        <v>2993</v>
      </c>
      <c r="BAL1" s="104" t="s">
        <v>2470</v>
      </c>
      <c r="BAM1" s="104" t="s">
        <v>2327</v>
      </c>
      <c r="BAN1" s="134" t="s">
        <v>2994</v>
      </c>
      <c r="BAO1" s="104" t="s">
        <v>2437</v>
      </c>
      <c r="BAP1" s="104" t="s">
        <v>2334</v>
      </c>
      <c r="BAQ1" s="104" t="s">
        <v>2349</v>
      </c>
      <c r="BAR1" s="104" t="s">
        <v>2995</v>
      </c>
      <c r="BAS1" s="104" t="s">
        <v>2467</v>
      </c>
      <c r="BAT1" s="104" t="s">
        <v>2996</v>
      </c>
      <c r="BAU1" s="104" t="s">
        <v>2997</v>
      </c>
      <c r="BAV1" s="104" t="s">
        <v>2998</v>
      </c>
      <c r="BAW1" s="104" t="s">
        <v>2460</v>
      </c>
      <c r="BAX1" s="104" t="s">
        <v>2462</v>
      </c>
      <c r="BAY1" s="104" t="s">
        <v>2463</v>
      </c>
      <c r="BAZ1" s="104" t="s">
        <v>2336</v>
      </c>
      <c r="BBA1" s="104" t="s">
        <v>2999</v>
      </c>
      <c r="BBB1" s="104" t="s">
        <v>2343</v>
      </c>
      <c r="BBC1" s="104" t="s">
        <v>2339</v>
      </c>
      <c r="BBD1" s="104" t="s">
        <v>2350</v>
      </c>
      <c r="BBE1" s="104" t="s">
        <v>2327</v>
      </c>
      <c r="BBF1" s="104" t="s">
        <v>3000</v>
      </c>
      <c r="BBG1" s="104" t="s">
        <v>3001</v>
      </c>
      <c r="BBH1" s="104" t="s">
        <v>3002</v>
      </c>
      <c r="BBI1" s="104" t="s">
        <v>2497</v>
      </c>
      <c r="BBJ1" s="104" t="s">
        <v>2373</v>
      </c>
      <c r="BBK1" s="104" t="s">
        <v>2579</v>
      </c>
      <c r="BBL1" s="104" t="s">
        <v>3003</v>
      </c>
      <c r="BBM1" s="104" t="s">
        <v>2775</v>
      </c>
      <c r="BBN1" s="104" t="s">
        <v>2956</v>
      </c>
      <c r="BBO1" s="104" t="s">
        <v>3004</v>
      </c>
      <c r="BBP1" s="104" t="s">
        <v>2373</v>
      </c>
      <c r="BBQ1" s="104" t="s">
        <v>3005</v>
      </c>
      <c r="BBR1" s="104" t="s">
        <v>2345</v>
      </c>
      <c r="BBS1" s="104" t="s">
        <v>3006</v>
      </c>
      <c r="BBT1" s="135">
        <v>45720.0</v>
      </c>
      <c r="BBU1" s="104" t="s">
        <v>3007</v>
      </c>
      <c r="BBV1" s="104" t="s">
        <v>2442</v>
      </c>
      <c r="BBW1" s="104" t="s">
        <v>3008</v>
      </c>
      <c r="BBX1" s="104" t="s">
        <v>2373</v>
      </c>
      <c r="BBY1" s="104" t="s">
        <v>3009</v>
      </c>
      <c r="BBZ1" s="104" t="s">
        <v>2416</v>
      </c>
      <c r="BCA1" s="104" t="s">
        <v>2323</v>
      </c>
      <c r="BCB1" s="104" t="s">
        <v>2499</v>
      </c>
      <c r="BCC1" s="104" t="s">
        <v>3010</v>
      </c>
      <c r="BCD1" s="104" t="s">
        <v>2327</v>
      </c>
      <c r="BCE1" s="104" t="s">
        <v>3011</v>
      </c>
      <c r="BCF1" s="104" t="s">
        <v>3012</v>
      </c>
      <c r="BCG1" s="104" t="s">
        <v>2327</v>
      </c>
      <c r="BCH1" s="104" t="s">
        <v>2345</v>
      </c>
      <c r="BCI1" s="104" t="s">
        <v>2513</v>
      </c>
      <c r="BCJ1" s="104" t="s">
        <v>3013</v>
      </c>
      <c r="BCK1" s="104" t="s">
        <v>3014</v>
      </c>
      <c r="BCL1" s="104" t="s">
        <v>2861</v>
      </c>
      <c r="BCM1" s="104" t="s">
        <v>3015</v>
      </c>
      <c r="BCN1" s="104" t="s">
        <v>3000</v>
      </c>
      <c r="BCO1" s="104" t="s">
        <v>3016</v>
      </c>
      <c r="BCP1" s="104" t="s">
        <v>2856</v>
      </c>
      <c r="BCQ1" s="104" t="s">
        <v>2313</v>
      </c>
      <c r="BCR1" s="104" t="s">
        <v>2347</v>
      </c>
      <c r="BCS1" s="104" t="s">
        <v>3017</v>
      </c>
      <c r="BCT1" s="104" t="s">
        <v>3018</v>
      </c>
      <c r="BCU1" s="104" t="s">
        <v>3019</v>
      </c>
      <c r="BCV1" s="104" t="s">
        <v>3020</v>
      </c>
      <c r="BCW1" s="104" t="s">
        <v>2327</v>
      </c>
      <c r="BCX1" s="104" t="s">
        <v>3021</v>
      </c>
      <c r="BCY1" s="104" t="s">
        <v>2075</v>
      </c>
      <c r="BCZ1" s="104" t="s">
        <v>2322</v>
      </c>
      <c r="BDA1" s="104" t="s">
        <v>3013</v>
      </c>
      <c r="BDB1" s="104" t="s">
        <v>2361</v>
      </c>
      <c r="BDC1" s="104" t="s">
        <v>3022</v>
      </c>
      <c r="BDD1" s="104" t="s">
        <v>2336</v>
      </c>
      <c r="BDE1" s="104" t="s">
        <v>2314</v>
      </c>
      <c r="BDF1" s="104" t="s">
        <v>2722</v>
      </c>
      <c r="BDG1" s="104" t="s">
        <v>2361</v>
      </c>
      <c r="BDH1" s="104" t="s">
        <v>2354</v>
      </c>
      <c r="BDI1" s="104" t="s">
        <v>2700</v>
      </c>
      <c r="BDJ1" s="104" t="s">
        <v>2775</v>
      </c>
      <c r="BDK1" s="104" t="s">
        <v>2956</v>
      </c>
      <c r="BDL1" s="104" t="s">
        <v>2327</v>
      </c>
      <c r="BDM1" s="104" t="s">
        <v>2556</v>
      </c>
      <c r="BDN1" s="104" t="s">
        <v>1524</v>
      </c>
      <c r="BDO1" s="104" t="s">
        <v>2942</v>
      </c>
      <c r="BDP1" s="104" t="s">
        <v>3023</v>
      </c>
      <c r="BDQ1" s="104" t="s">
        <v>3024</v>
      </c>
      <c r="BDR1" s="104" t="s">
        <v>3025</v>
      </c>
      <c r="BDS1" s="104" t="s">
        <v>2956</v>
      </c>
      <c r="BDT1" s="104" t="s">
        <v>3004</v>
      </c>
      <c r="BDU1" s="104" t="s">
        <v>2373</v>
      </c>
      <c r="BDV1" s="104" t="s">
        <v>3026</v>
      </c>
      <c r="BDW1" s="104" t="s">
        <v>2324</v>
      </c>
      <c r="BDX1" s="135">
        <v>45720.0</v>
      </c>
      <c r="BDY1" s="104" t="s">
        <v>2805</v>
      </c>
      <c r="BDZ1" s="104" t="s">
        <v>2717</v>
      </c>
      <c r="BEA1" s="104" t="s">
        <v>3027</v>
      </c>
      <c r="BEB1" s="104" t="s">
        <v>2884</v>
      </c>
      <c r="BEC1" s="104" t="s">
        <v>2437</v>
      </c>
      <c r="BED1" s="104" t="s">
        <v>2343</v>
      </c>
      <c r="BEE1" s="134" t="s">
        <v>3028</v>
      </c>
      <c r="BEF1" s="104" t="s">
        <v>3029</v>
      </c>
      <c r="BEG1" s="104" t="s">
        <v>3030</v>
      </c>
      <c r="BEH1" s="104" t="s">
        <v>2501</v>
      </c>
      <c r="BEI1" s="104" t="s">
        <v>2497</v>
      </c>
      <c r="BEJ1" s="104" t="s">
        <v>2373</v>
      </c>
      <c r="BEK1" s="104" t="s">
        <v>3005</v>
      </c>
      <c r="BEL1" s="104" t="s">
        <v>3031</v>
      </c>
      <c r="BEM1" s="104" t="s">
        <v>2315</v>
      </c>
      <c r="BEN1" s="104" t="s">
        <v>3032</v>
      </c>
      <c r="BEO1" s="104" t="s">
        <v>2430</v>
      </c>
      <c r="BEP1" s="104" t="s">
        <v>2373</v>
      </c>
      <c r="BEQ1" s="104" t="s">
        <v>3033</v>
      </c>
      <c r="BER1" s="104" t="s">
        <v>2582</v>
      </c>
      <c r="BES1" s="104" t="s">
        <v>2343</v>
      </c>
      <c r="BET1" s="104" t="s">
        <v>2432</v>
      </c>
      <c r="BEU1" s="104" t="s">
        <v>2433</v>
      </c>
      <c r="BEV1" s="104" t="s">
        <v>2319</v>
      </c>
      <c r="BEW1" s="104" t="s">
        <v>3034</v>
      </c>
      <c r="BEX1" s="104" t="s">
        <v>2435</v>
      </c>
      <c r="BEY1" s="104" t="s">
        <v>2319</v>
      </c>
      <c r="BEZ1" s="104" t="s">
        <v>3035</v>
      </c>
      <c r="BFA1" s="104" t="s">
        <v>2389</v>
      </c>
      <c r="BFB1" s="104" t="s">
        <v>3036</v>
      </c>
      <c r="BFC1" s="104" t="s">
        <v>3037</v>
      </c>
      <c r="BFD1" s="104" t="s">
        <v>3038</v>
      </c>
      <c r="BFE1" s="104" t="s">
        <v>3039</v>
      </c>
      <c r="BFF1" s="104" t="s">
        <v>3040</v>
      </c>
      <c r="BFG1" s="104" t="s">
        <v>2437</v>
      </c>
      <c r="BFH1" s="104" t="s">
        <v>3041</v>
      </c>
      <c r="BFI1" s="104" t="s">
        <v>2323</v>
      </c>
      <c r="BFJ1" s="104" t="s">
        <v>3042</v>
      </c>
      <c r="BFK1" s="104" t="s">
        <v>2455</v>
      </c>
      <c r="BFL1" s="104" t="s">
        <v>3043</v>
      </c>
      <c r="BFM1" s="104" t="s">
        <v>2327</v>
      </c>
      <c r="BFN1" s="104" t="s">
        <v>3044</v>
      </c>
      <c r="BFO1" s="104" t="s">
        <v>3045</v>
      </c>
      <c r="BFP1" s="104" t="s">
        <v>940</v>
      </c>
      <c r="BFQ1" s="104" t="s">
        <v>3046</v>
      </c>
      <c r="BFR1" s="104" t="s">
        <v>3047</v>
      </c>
      <c r="BFS1" s="104" t="s">
        <v>3048</v>
      </c>
      <c r="BFT1" s="104" t="s">
        <v>2437</v>
      </c>
      <c r="BFU1" s="104" t="s">
        <v>2343</v>
      </c>
      <c r="BFV1" s="104" t="s">
        <v>2432</v>
      </c>
      <c r="BFW1" s="104" t="s">
        <v>2433</v>
      </c>
      <c r="BFX1" s="104" t="s">
        <v>2319</v>
      </c>
      <c r="BFY1" s="104" t="s">
        <v>3049</v>
      </c>
      <c r="BFZ1" s="104" t="s">
        <v>2823</v>
      </c>
      <c r="BGA1" s="104" t="s">
        <v>2850</v>
      </c>
      <c r="BGB1" s="104" t="s">
        <v>3040</v>
      </c>
      <c r="BGC1" s="104" t="s">
        <v>2437</v>
      </c>
      <c r="BGD1" s="104" t="s">
        <v>3041</v>
      </c>
      <c r="BGE1" s="104" t="s">
        <v>2440</v>
      </c>
      <c r="BGF1" s="104" t="s">
        <v>2343</v>
      </c>
      <c r="BGG1" s="104" t="s">
        <v>2448</v>
      </c>
      <c r="BGH1" s="134" t="s">
        <v>3050</v>
      </c>
      <c r="BGI1" s="104" t="s">
        <v>2319</v>
      </c>
      <c r="BGJ1" s="104" t="s">
        <v>2327</v>
      </c>
      <c r="BGK1" s="104" t="s">
        <v>2809</v>
      </c>
      <c r="BGL1" s="104" t="s">
        <v>3051</v>
      </c>
      <c r="BGM1" s="104" t="s">
        <v>3015</v>
      </c>
      <c r="BGN1" s="104" t="s">
        <v>2850</v>
      </c>
      <c r="BGO1" s="104" t="s">
        <v>2479</v>
      </c>
      <c r="BGP1" s="104" t="s">
        <v>2480</v>
      </c>
      <c r="BGQ1" s="104" t="s">
        <v>2361</v>
      </c>
      <c r="BGR1" s="104" t="s">
        <v>3052</v>
      </c>
      <c r="BGS1" s="104" t="s">
        <v>3053</v>
      </c>
      <c r="BGT1" s="104" t="s">
        <v>3054</v>
      </c>
      <c r="BGU1" s="104" t="s">
        <v>3052</v>
      </c>
      <c r="BGV1" s="104" t="s">
        <v>3055</v>
      </c>
      <c r="BGW1" s="104" t="s">
        <v>3056</v>
      </c>
      <c r="BGX1" s="104" t="s">
        <v>2336</v>
      </c>
      <c r="BGY1" s="104" t="s">
        <v>2850</v>
      </c>
      <c r="BGZ1" s="104" t="s">
        <v>3057</v>
      </c>
    </row>
    <row r="2">
      <c r="A2" s="23" t="s">
        <v>3058</v>
      </c>
      <c r="B2" s="23" t="s">
        <v>29</v>
      </c>
      <c r="C2" s="122">
        <v>42.5063</v>
      </c>
      <c r="D2" s="122">
        <v>1.5218</v>
      </c>
      <c r="E2" s="23" t="s">
        <v>3059</v>
      </c>
      <c r="F2" s="23" t="s">
        <v>3060</v>
      </c>
      <c r="G2" s="23"/>
      <c r="H2" s="23"/>
      <c r="I2" s="23"/>
      <c r="J2" s="23"/>
      <c r="K2" s="23"/>
      <c r="L2" s="23"/>
      <c r="M2" s="23"/>
      <c r="N2" s="23"/>
      <c r="O2" s="23"/>
      <c r="P2" s="23"/>
      <c r="Q2" s="23"/>
      <c r="R2" s="23"/>
      <c r="S2" s="23"/>
      <c r="T2" s="23"/>
      <c r="U2" s="23"/>
      <c r="V2" s="23"/>
      <c r="W2" s="23"/>
      <c r="X2" s="23"/>
      <c r="Y2" s="23"/>
      <c r="Z2" s="23"/>
    </row>
    <row r="3">
      <c r="A3" s="23" t="s">
        <v>3061</v>
      </c>
      <c r="B3" s="23" t="s">
        <v>48</v>
      </c>
      <c r="C3" s="122">
        <v>-82.8628</v>
      </c>
      <c r="D3" s="122">
        <v>135.0</v>
      </c>
      <c r="E3" s="23" t="s">
        <v>3062</v>
      </c>
      <c r="F3" s="23" t="s">
        <v>3063</v>
      </c>
      <c r="G3" s="23"/>
      <c r="H3" s="23"/>
      <c r="I3" s="23"/>
      <c r="J3" s="23"/>
      <c r="K3" s="23"/>
      <c r="L3" s="23"/>
      <c r="M3" s="23"/>
      <c r="N3" s="23"/>
      <c r="O3" s="23"/>
      <c r="P3" s="23"/>
      <c r="Q3" s="23"/>
      <c r="R3" s="23"/>
      <c r="S3" s="23"/>
      <c r="T3" s="23"/>
      <c r="U3" s="23"/>
      <c r="V3" s="23"/>
      <c r="W3" s="23"/>
      <c r="X3" s="23"/>
      <c r="Y3" s="23"/>
      <c r="Z3" s="23"/>
    </row>
    <row r="4">
      <c r="A4" s="23" t="s">
        <v>3064</v>
      </c>
      <c r="B4" s="23" t="s">
        <v>54</v>
      </c>
      <c r="C4" s="122">
        <v>47.5162</v>
      </c>
      <c r="D4" s="122">
        <v>14.5501</v>
      </c>
      <c r="E4" s="23" t="s">
        <v>3065</v>
      </c>
      <c r="F4" s="23" t="s">
        <v>3066</v>
      </c>
      <c r="G4" s="23"/>
      <c r="H4" s="23"/>
      <c r="I4" s="23"/>
      <c r="J4" s="23"/>
      <c r="K4" s="23"/>
      <c r="L4" s="23"/>
      <c r="M4" s="23"/>
      <c r="N4" s="23"/>
      <c r="O4" s="23"/>
      <c r="P4" s="23"/>
      <c r="Q4" s="23"/>
      <c r="R4" s="23"/>
      <c r="S4" s="23"/>
      <c r="T4" s="23"/>
      <c r="U4" s="23"/>
      <c r="V4" s="23"/>
      <c r="W4" s="23"/>
      <c r="X4" s="23"/>
      <c r="Y4" s="23"/>
      <c r="Z4" s="23"/>
    </row>
    <row r="5">
      <c r="A5" s="23" t="s">
        <v>3067</v>
      </c>
      <c r="B5" s="23" t="s">
        <v>278</v>
      </c>
      <c r="C5" s="122">
        <v>50.8503</v>
      </c>
      <c r="D5" s="122">
        <v>4.3517</v>
      </c>
      <c r="E5" s="23" t="s">
        <v>3068</v>
      </c>
      <c r="F5" s="23" t="s">
        <v>3069</v>
      </c>
      <c r="G5" s="23"/>
      <c r="H5" s="23"/>
      <c r="I5" s="23"/>
      <c r="J5" s="23"/>
      <c r="K5" s="23"/>
      <c r="L5" s="23"/>
      <c r="M5" s="23"/>
      <c r="N5" s="23"/>
      <c r="O5" s="23"/>
      <c r="P5" s="23"/>
      <c r="Q5" s="23"/>
      <c r="R5" s="23"/>
      <c r="S5" s="23"/>
      <c r="T5" s="23"/>
      <c r="U5" s="23"/>
      <c r="V5" s="23"/>
      <c r="W5" s="23"/>
      <c r="X5" s="23"/>
      <c r="Y5" s="23"/>
      <c r="Z5" s="23"/>
    </row>
    <row r="6">
      <c r="A6" s="23" t="s">
        <v>3070</v>
      </c>
      <c r="B6" s="23" t="s">
        <v>3071</v>
      </c>
      <c r="C6" s="122">
        <v>12.1784</v>
      </c>
      <c r="D6" s="122">
        <v>-68.2385</v>
      </c>
      <c r="E6" s="23" t="s">
        <v>3072</v>
      </c>
      <c r="F6" s="23" t="s">
        <v>3073</v>
      </c>
      <c r="G6" s="23"/>
      <c r="H6" s="23"/>
      <c r="I6" s="23"/>
      <c r="J6" s="23"/>
      <c r="K6" s="23"/>
      <c r="L6" s="23"/>
      <c r="M6" s="23"/>
      <c r="N6" s="23"/>
      <c r="O6" s="23"/>
      <c r="P6" s="23"/>
      <c r="Q6" s="23"/>
      <c r="R6" s="23"/>
      <c r="S6" s="23"/>
      <c r="T6" s="23"/>
      <c r="U6" s="23"/>
      <c r="V6" s="23"/>
      <c r="W6" s="23"/>
      <c r="X6" s="23"/>
      <c r="Y6" s="23"/>
      <c r="Z6" s="23"/>
    </row>
    <row r="7">
      <c r="A7" s="23" t="s">
        <v>3074</v>
      </c>
      <c r="B7" s="23" t="s">
        <v>552</v>
      </c>
      <c r="C7" s="122">
        <v>-6.3432</v>
      </c>
      <c r="D7" s="122">
        <v>71.8765</v>
      </c>
      <c r="E7" s="23" t="s">
        <v>3075</v>
      </c>
      <c r="F7" s="23" t="s">
        <v>3076</v>
      </c>
      <c r="G7" s="23"/>
      <c r="H7" s="23"/>
      <c r="I7" s="23"/>
      <c r="J7" s="23"/>
      <c r="K7" s="23"/>
      <c r="L7" s="23"/>
      <c r="M7" s="23"/>
      <c r="N7" s="23"/>
      <c r="O7" s="23"/>
      <c r="P7" s="23"/>
      <c r="Q7" s="23"/>
      <c r="R7" s="23"/>
      <c r="S7" s="23"/>
      <c r="T7" s="23"/>
      <c r="U7" s="23"/>
      <c r="V7" s="23"/>
      <c r="W7" s="23"/>
      <c r="X7" s="23"/>
      <c r="Y7" s="23"/>
      <c r="Z7" s="23"/>
    </row>
    <row r="8">
      <c r="A8" s="23" t="s">
        <v>3077</v>
      </c>
      <c r="B8" s="23" t="s">
        <v>560</v>
      </c>
      <c r="C8" s="122">
        <v>56.2639</v>
      </c>
      <c r="D8" s="122">
        <v>9.5018</v>
      </c>
      <c r="E8" s="23" t="s">
        <v>3078</v>
      </c>
      <c r="F8" s="23" t="s">
        <v>3079</v>
      </c>
      <c r="G8" s="23"/>
      <c r="H8" s="23"/>
      <c r="I8" s="23"/>
      <c r="J8" s="23"/>
      <c r="K8" s="23"/>
      <c r="L8" s="23"/>
      <c r="M8" s="23"/>
      <c r="N8" s="23"/>
      <c r="O8" s="23"/>
      <c r="P8" s="23"/>
      <c r="Q8" s="23"/>
      <c r="R8" s="23"/>
      <c r="S8" s="23"/>
      <c r="T8" s="23"/>
      <c r="U8" s="23"/>
      <c r="V8" s="23"/>
      <c r="W8" s="23"/>
      <c r="X8" s="23"/>
      <c r="Y8" s="23"/>
      <c r="Z8" s="23"/>
    </row>
    <row r="9">
      <c r="A9" s="23" t="s">
        <v>3080</v>
      </c>
      <c r="B9" s="23" t="s">
        <v>773</v>
      </c>
      <c r="C9" s="122">
        <v>61.8926</v>
      </c>
      <c r="D9" s="122">
        <v>-6.9118</v>
      </c>
      <c r="E9" s="23" t="s">
        <v>3081</v>
      </c>
      <c r="F9" s="23" t="s">
        <v>3082</v>
      </c>
      <c r="G9" s="23"/>
      <c r="H9" s="23"/>
      <c r="I9" s="23"/>
      <c r="J9" s="23"/>
      <c r="K9" s="23"/>
      <c r="L9" s="23"/>
      <c r="M9" s="23"/>
      <c r="N9" s="23"/>
      <c r="O9" s="23"/>
      <c r="P9" s="23"/>
      <c r="Q9" s="23"/>
      <c r="R9" s="23"/>
      <c r="S9" s="23"/>
      <c r="T9" s="23"/>
      <c r="U9" s="23"/>
      <c r="V9" s="23"/>
      <c r="W9" s="23"/>
      <c r="X9" s="23"/>
      <c r="Y9" s="23"/>
      <c r="Z9" s="23"/>
    </row>
    <row r="10">
      <c r="A10" s="23" t="s">
        <v>3083</v>
      </c>
      <c r="B10" s="23" t="s">
        <v>823</v>
      </c>
      <c r="C10" s="122">
        <v>61.9241</v>
      </c>
      <c r="D10" s="122">
        <v>25.7482</v>
      </c>
      <c r="E10" s="23" t="s">
        <v>3084</v>
      </c>
      <c r="F10" s="23" t="s">
        <v>3085</v>
      </c>
      <c r="G10" s="23"/>
      <c r="H10" s="23"/>
      <c r="I10" s="23"/>
      <c r="J10" s="23"/>
      <c r="K10" s="23"/>
      <c r="L10" s="23"/>
      <c r="M10" s="23"/>
      <c r="N10" s="23"/>
      <c r="O10" s="23"/>
      <c r="P10" s="23"/>
      <c r="Q10" s="23"/>
      <c r="R10" s="23"/>
      <c r="S10" s="23"/>
      <c r="T10" s="23"/>
      <c r="U10" s="23"/>
      <c r="V10" s="23"/>
      <c r="W10" s="23"/>
      <c r="X10" s="23"/>
      <c r="Y10" s="23"/>
      <c r="Z10" s="23"/>
    </row>
    <row r="11">
      <c r="A11" s="23" t="s">
        <v>3086</v>
      </c>
      <c r="B11" s="23" t="s">
        <v>971</v>
      </c>
      <c r="C11" s="122">
        <v>46.2276</v>
      </c>
      <c r="D11" s="122">
        <v>2.2137</v>
      </c>
      <c r="E11" s="23" t="s">
        <v>3087</v>
      </c>
      <c r="F11" s="23" t="s">
        <v>3088</v>
      </c>
      <c r="G11" s="23"/>
      <c r="H11" s="23"/>
      <c r="I11" s="23"/>
      <c r="J11" s="23"/>
      <c r="K11" s="23"/>
      <c r="L11" s="23"/>
      <c r="M11" s="23"/>
      <c r="N11" s="23"/>
      <c r="O11" s="23"/>
      <c r="P11" s="23"/>
      <c r="Q11" s="23"/>
      <c r="R11" s="23"/>
      <c r="S11" s="23"/>
      <c r="T11" s="23"/>
      <c r="U11" s="23"/>
      <c r="V11" s="23"/>
      <c r="W11" s="23"/>
      <c r="X11" s="23"/>
      <c r="Y11" s="23"/>
      <c r="Z11" s="23"/>
    </row>
    <row r="12">
      <c r="A12" s="23" t="s">
        <v>3089</v>
      </c>
      <c r="B12" s="23" t="s">
        <v>1463</v>
      </c>
      <c r="C12" s="122">
        <v>51.1657</v>
      </c>
      <c r="D12" s="122">
        <v>10.4515</v>
      </c>
      <c r="E12" s="23" t="s">
        <v>3090</v>
      </c>
      <c r="F12" s="23" t="s">
        <v>3091</v>
      </c>
      <c r="G12" s="23"/>
      <c r="H12" s="23"/>
      <c r="I12" s="23"/>
      <c r="J12" s="23"/>
      <c r="K12" s="23"/>
      <c r="L12" s="23"/>
      <c r="M12" s="23"/>
      <c r="N12" s="23"/>
      <c r="O12" s="23"/>
      <c r="P12" s="23"/>
      <c r="Q12" s="23"/>
      <c r="R12" s="23"/>
      <c r="S12" s="23"/>
      <c r="T12" s="23"/>
      <c r="U12" s="23"/>
      <c r="V12" s="23"/>
      <c r="W12" s="23"/>
      <c r="X12" s="23"/>
      <c r="Y12" s="23"/>
      <c r="Z12" s="23"/>
    </row>
    <row r="13">
      <c r="A13" s="23" t="s">
        <v>3092</v>
      </c>
      <c r="B13" s="23" t="s">
        <v>1483</v>
      </c>
      <c r="C13" s="122">
        <v>36.1377</v>
      </c>
      <c r="D13" s="122">
        <v>-5.3453</v>
      </c>
      <c r="E13" s="23" t="s">
        <v>3093</v>
      </c>
      <c r="F13" s="23" t="s">
        <v>3094</v>
      </c>
      <c r="G13" s="23"/>
      <c r="H13" s="23"/>
      <c r="I13" s="23"/>
      <c r="J13" s="23"/>
      <c r="K13" s="23"/>
      <c r="L13" s="23"/>
      <c r="M13" s="23"/>
      <c r="N13" s="23"/>
      <c r="O13" s="23"/>
      <c r="P13" s="23"/>
      <c r="Q13" s="23"/>
      <c r="R13" s="23"/>
      <c r="S13" s="23"/>
      <c r="T13" s="23"/>
      <c r="U13" s="23"/>
      <c r="V13" s="23"/>
      <c r="W13" s="23"/>
      <c r="X13" s="23"/>
      <c r="Y13" s="23"/>
      <c r="Z13" s="23"/>
    </row>
    <row r="14">
      <c r="A14" s="23" t="s">
        <v>3095</v>
      </c>
      <c r="B14" s="23" t="s">
        <v>1497</v>
      </c>
      <c r="C14" s="122">
        <v>71.7069</v>
      </c>
      <c r="D14" s="122">
        <v>-42.6043</v>
      </c>
      <c r="E14" s="23" t="s">
        <v>3096</v>
      </c>
      <c r="F14" s="23" t="s">
        <v>3097</v>
      </c>
      <c r="G14" s="23"/>
      <c r="H14" s="23"/>
      <c r="I14" s="23"/>
      <c r="J14" s="23"/>
      <c r="K14" s="23"/>
      <c r="L14" s="23"/>
      <c r="M14" s="23"/>
      <c r="N14" s="23"/>
      <c r="O14" s="23"/>
      <c r="P14" s="23"/>
      <c r="Q14" s="23"/>
      <c r="R14" s="23"/>
      <c r="S14" s="23"/>
      <c r="T14" s="23"/>
      <c r="U14" s="23"/>
      <c r="V14" s="23"/>
      <c r="W14" s="23"/>
      <c r="X14" s="23"/>
      <c r="Y14" s="23"/>
      <c r="Z14" s="23"/>
    </row>
    <row r="15">
      <c r="A15" s="23" t="s">
        <v>3098</v>
      </c>
      <c r="B15" s="23" t="s">
        <v>1509</v>
      </c>
      <c r="C15" s="122">
        <v>49.4657</v>
      </c>
      <c r="D15" s="122">
        <v>-2.5853</v>
      </c>
      <c r="E15" s="23" t="s">
        <v>3099</v>
      </c>
      <c r="F15" s="23" t="s">
        <v>3100</v>
      </c>
      <c r="G15" s="23"/>
      <c r="H15" s="23"/>
      <c r="I15" s="23"/>
      <c r="J15" s="23"/>
      <c r="K15" s="23"/>
      <c r="L15" s="23"/>
      <c r="M15" s="23"/>
      <c r="N15" s="23"/>
      <c r="O15" s="23"/>
      <c r="P15" s="23"/>
      <c r="Q15" s="23"/>
      <c r="R15" s="23"/>
      <c r="S15" s="23"/>
      <c r="T15" s="23"/>
      <c r="U15" s="23"/>
      <c r="V15" s="23"/>
      <c r="W15" s="23"/>
      <c r="X15" s="23"/>
      <c r="Y15" s="23"/>
      <c r="Z15" s="23"/>
    </row>
    <row r="16">
      <c r="A16" s="23" t="s">
        <v>3101</v>
      </c>
      <c r="B16" s="23" t="s">
        <v>1524</v>
      </c>
      <c r="C16" s="122">
        <v>64.9631</v>
      </c>
      <c r="D16" s="122">
        <v>-19.0208</v>
      </c>
      <c r="E16" s="23" t="s">
        <v>3102</v>
      </c>
      <c r="F16" s="23" t="s">
        <v>3103</v>
      </c>
      <c r="G16" s="23"/>
      <c r="H16" s="23"/>
      <c r="I16" s="23"/>
      <c r="J16" s="23"/>
      <c r="K16" s="23"/>
      <c r="L16" s="23"/>
      <c r="M16" s="23"/>
      <c r="N16" s="23"/>
      <c r="O16" s="23"/>
      <c r="P16" s="23"/>
      <c r="Q16" s="23"/>
      <c r="R16" s="23"/>
      <c r="S16" s="23"/>
      <c r="T16" s="23"/>
      <c r="U16" s="23"/>
      <c r="V16" s="23"/>
      <c r="W16" s="23"/>
      <c r="X16" s="23"/>
      <c r="Y16" s="23"/>
      <c r="Z16" s="23"/>
    </row>
    <row r="17">
      <c r="A17" s="23" t="s">
        <v>3104</v>
      </c>
      <c r="B17" s="23" t="s">
        <v>1537</v>
      </c>
      <c r="C17" s="122">
        <v>53.1424</v>
      </c>
      <c r="D17" s="122">
        <v>-7.6921</v>
      </c>
      <c r="E17" s="23" t="s">
        <v>3105</v>
      </c>
      <c r="F17" s="23" t="s">
        <v>3106</v>
      </c>
      <c r="G17" s="23"/>
      <c r="H17" s="23"/>
      <c r="I17" s="23"/>
      <c r="J17" s="23"/>
      <c r="K17" s="23"/>
      <c r="L17" s="23"/>
      <c r="M17" s="23"/>
      <c r="N17" s="23"/>
      <c r="O17" s="23"/>
      <c r="P17" s="23"/>
      <c r="Q17" s="23"/>
      <c r="R17" s="23"/>
      <c r="S17" s="23"/>
      <c r="T17" s="23"/>
      <c r="U17" s="23"/>
      <c r="V17" s="23"/>
      <c r="W17" s="23"/>
      <c r="X17" s="23"/>
      <c r="Y17" s="23"/>
      <c r="Z17" s="23"/>
    </row>
    <row r="18">
      <c r="A18" s="23" t="s">
        <v>3107</v>
      </c>
      <c r="B18" s="23" t="s">
        <v>1553</v>
      </c>
      <c r="C18" s="122">
        <v>41.8719</v>
      </c>
      <c r="D18" s="122">
        <v>12.5674</v>
      </c>
      <c r="E18" s="23" t="s">
        <v>3108</v>
      </c>
      <c r="F18" s="23" t="s">
        <v>3109</v>
      </c>
      <c r="G18" s="23"/>
      <c r="H18" s="23"/>
      <c r="I18" s="23"/>
      <c r="J18" s="23"/>
      <c r="K18" s="23"/>
      <c r="L18" s="23"/>
      <c r="M18" s="23"/>
      <c r="N18" s="23"/>
      <c r="O18" s="23"/>
      <c r="P18" s="23"/>
      <c r="Q18" s="23"/>
      <c r="R18" s="23"/>
      <c r="S18" s="23"/>
      <c r="T18" s="23"/>
      <c r="U18" s="23"/>
      <c r="V18" s="23"/>
      <c r="W18" s="23"/>
      <c r="X18" s="23"/>
      <c r="Y18" s="23"/>
      <c r="Z18" s="23"/>
    </row>
    <row r="19">
      <c r="A19" s="23" t="s">
        <v>3110</v>
      </c>
      <c r="B19" s="23" t="s">
        <v>1572</v>
      </c>
      <c r="C19" s="122">
        <v>49.2144</v>
      </c>
      <c r="D19" s="122">
        <v>-2.1313</v>
      </c>
      <c r="E19" s="23" t="s">
        <v>3111</v>
      </c>
      <c r="F19" s="23" t="s">
        <v>3112</v>
      </c>
      <c r="G19" s="23"/>
      <c r="H19" s="23"/>
      <c r="I19" s="23"/>
      <c r="J19" s="23"/>
      <c r="K19" s="23"/>
      <c r="L19" s="23"/>
      <c r="M19" s="23"/>
      <c r="N19" s="23"/>
      <c r="O19" s="23"/>
      <c r="P19" s="23"/>
      <c r="Q19" s="23"/>
      <c r="R19" s="23"/>
      <c r="S19" s="23"/>
      <c r="T19" s="23"/>
      <c r="U19" s="23"/>
      <c r="V19" s="23"/>
      <c r="W19" s="23"/>
      <c r="X19" s="23"/>
      <c r="Y19" s="23"/>
      <c r="Z19" s="23"/>
    </row>
    <row r="20">
      <c r="A20" s="23" t="s">
        <v>3113</v>
      </c>
      <c r="B20" s="23" t="s">
        <v>1586</v>
      </c>
      <c r="C20" s="122">
        <v>47.166</v>
      </c>
      <c r="D20" s="122">
        <v>9.5554</v>
      </c>
      <c r="E20" s="23" t="s">
        <v>3114</v>
      </c>
      <c r="F20" s="23" t="s">
        <v>3115</v>
      </c>
      <c r="G20" s="23"/>
      <c r="H20" s="23"/>
      <c r="I20" s="23"/>
      <c r="J20" s="23"/>
      <c r="K20" s="23"/>
      <c r="L20" s="23"/>
      <c r="M20" s="23"/>
      <c r="N20" s="23"/>
      <c r="O20" s="23"/>
      <c r="P20" s="23"/>
      <c r="Q20" s="23"/>
      <c r="R20" s="23"/>
      <c r="S20" s="23"/>
      <c r="T20" s="23"/>
      <c r="U20" s="23"/>
      <c r="V20" s="23"/>
      <c r="W20" s="23"/>
      <c r="X20" s="23"/>
      <c r="Y20" s="23"/>
      <c r="Z20" s="23"/>
    </row>
    <row r="21">
      <c r="A21" s="23" t="s">
        <v>3116</v>
      </c>
      <c r="B21" s="23" t="s">
        <v>1600</v>
      </c>
      <c r="C21" s="122">
        <v>49.8153</v>
      </c>
      <c r="D21" s="122">
        <v>6.1296</v>
      </c>
      <c r="E21" s="23" t="s">
        <v>3117</v>
      </c>
      <c r="F21" s="23" t="s">
        <v>3118</v>
      </c>
      <c r="G21" s="23"/>
      <c r="H21" s="23"/>
      <c r="I21" s="23"/>
      <c r="J21" s="23"/>
      <c r="K21" s="23"/>
      <c r="L21" s="23"/>
      <c r="M21" s="23"/>
      <c r="N21" s="23"/>
      <c r="O21" s="23"/>
      <c r="P21" s="23"/>
      <c r="Q21" s="23"/>
      <c r="R21" s="23"/>
      <c r="S21" s="23"/>
      <c r="T21" s="23"/>
      <c r="U21" s="23"/>
      <c r="V21" s="23"/>
      <c r="W21" s="23"/>
      <c r="X21" s="23"/>
      <c r="Y21" s="23"/>
      <c r="Z21" s="23"/>
    </row>
    <row r="22">
      <c r="A22" s="23" t="s">
        <v>3119</v>
      </c>
      <c r="B22" s="23" t="s">
        <v>1614</v>
      </c>
      <c r="C22" s="122">
        <v>35.9375</v>
      </c>
      <c r="D22" s="122">
        <v>14.3754</v>
      </c>
      <c r="E22" s="23" t="s">
        <v>3120</v>
      </c>
      <c r="F22" s="23" t="s">
        <v>3121</v>
      </c>
      <c r="G22" s="23"/>
      <c r="H22" s="23"/>
      <c r="I22" s="23"/>
      <c r="J22" s="23"/>
      <c r="K22" s="23"/>
      <c r="L22" s="23"/>
      <c r="M22" s="23"/>
      <c r="N22" s="23"/>
      <c r="O22" s="23"/>
      <c r="P22" s="23"/>
      <c r="Q22" s="23"/>
      <c r="R22" s="23"/>
      <c r="S22" s="23"/>
      <c r="T22" s="23"/>
      <c r="U22" s="23"/>
      <c r="V22" s="23"/>
      <c r="W22" s="23"/>
      <c r="X22" s="23"/>
      <c r="Y22" s="23"/>
      <c r="Z22" s="23"/>
    </row>
    <row r="23">
      <c r="A23" s="23" t="s">
        <v>3122</v>
      </c>
      <c r="B23" s="23" t="s">
        <v>1627</v>
      </c>
      <c r="C23" s="122">
        <v>43.7384</v>
      </c>
      <c r="D23" s="122">
        <v>7.4246</v>
      </c>
      <c r="E23" s="23" t="s">
        <v>3123</v>
      </c>
      <c r="F23" s="23" t="s">
        <v>3124</v>
      </c>
      <c r="G23" s="23"/>
      <c r="H23" s="23"/>
      <c r="I23" s="23"/>
      <c r="J23" s="23"/>
      <c r="K23" s="23"/>
      <c r="L23" s="23"/>
      <c r="M23" s="23"/>
      <c r="N23" s="23"/>
      <c r="O23" s="23"/>
      <c r="P23" s="23"/>
      <c r="Q23" s="23"/>
      <c r="R23" s="23"/>
      <c r="S23" s="23"/>
      <c r="T23" s="23"/>
      <c r="U23" s="23"/>
      <c r="V23" s="23"/>
      <c r="W23" s="23"/>
      <c r="X23" s="23"/>
      <c r="Y23" s="23"/>
      <c r="Z23" s="23"/>
    </row>
    <row r="24">
      <c r="A24" s="23" t="s">
        <v>3125</v>
      </c>
      <c r="B24" s="23" t="s">
        <v>1639</v>
      </c>
      <c r="C24" s="122">
        <v>52.1326</v>
      </c>
      <c r="D24" s="122">
        <v>5.2913</v>
      </c>
      <c r="E24" s="23" t="s">
        <v>3126</v>
      </c>
      <c r="F24" s="23" t="s">
        <v>3127</v>
      </c>
      <c r="G24" s="23"/>
      <c r="H24" s="23"/>
      <c r="I24" s="23"/>
      <c r="J24" s="23"/>
      <c r="K24" s="23"/>
      <c r="L24" s="23"/>
      <c r="M24" s="23"/>
      <c r="N24" s="23"/>
      <c r="O24" s="23"/>
      <c r="P24" s="23"/>
      <c r="Q24" s="23"/>
      <c r="R24" s="23"/>
      <c r="S24" s="23"/>
      <c r="T24" s="23"/>
      <c r="U24" s="23"/>
      <c r="V24" s="23"/>
      <c r="W24" s="23"/>
      <c r="X24" s="23"/>
      <c r="Y24" s="23"/>
      <c r="Z24" s="23"/>
    </row>
    <row r="25">
      <c r="A25" s="23" t="s">
        <v>3128</v>
      </c>
      <c r="B25" s="23" t="s">
        <v>1657</v>
      </c>
      <c r="C25" s="122">
        <v>60.472</v>
      </c>
      <c r="D25" s="122">
        <v>8.4689</v>
      </c>
      <c r="E25" s="23" t="s">
        <v>3129</v>
      </c>
      <c r="F25" s="23" t="s">
        <v>3130</v>
      </c>
      <c r="G25" s="23"/>
      <c r="H25" s="23"/>
      <c r="I25" s="23"/>
      <c r="J25" s="23"/>
      <c r="K25" s="23"/>
      <c r="L25" s="23"/>
      <c r="M25" s="23"/>
      <c r="N25" s="23"/>
      <c r="O25" s="23"/>
      <c r="P25" s="23"/>
      <c r="Q25" s="23"/>
      <c r="R25" s="23"/>
      <c r="S25" s="23"/>
      <c r="T25" s="23"/>
      <c r="U25" s="23"/>
      <c r="V25" s="23"/>
      <c r="W25" s="23"/>
      <c r="X25" s="23"/>
      <c r="Y25" s="23"/>
      <c r="Z25" s="23"/>
    </row>
    <row r="26">
      <c r="A26" s="23" t="s">
        <v>3131</v>
      </c>
      <c r="B26" s="23" t="s">
        <v>1823</v>
      </c>
      <c r="C26" s="122">
        <v>39.3999</v>
      </c>
      <c r="D26" s="122">
        <v>-8.2245</v>
      </c>
      <c r="E26" s="23" t="s">
        <v>3132</v>
      </c>
      <c r="F26" s="23" t="s">
        <v>3133</v>
      </c>
      <c r="G26" s="23"/>
      <c r="H26" s="23"/>
      <c r="I26" s="23"/>
      <c r="J26" s="23"/>
      <c r="K26" s="23"/>
      <c r="L26" s="23"/>
      <c r="M26" s="23"/>
      <c r="N26" s="23"/>
      <c r="O26" s="23"/>
      <c r="P26" s="23"/>
      <c r="Q26" s="23"/>
      <c r="R26" s="23"/>
      <c r="S26" s="23"/>
      <c r="T26" s="23"/>
      <c r="U26" s="23"/>
      <c r="V26" s="23"/>
      <c r="W26" s="23"/>
      <c r="X26" s="23"/>
      <c r="Y26" s="23"/>
      <c r="Z26" s="23"/>
    </row>
    <row r="27">
      <c r="A27" s="23" t="s">
        <v>3134</v>
      </c>
      <c r="B27" s="23" t="s">
        <v>1837</v>
      </c>
      <c r="C27" s="122">
        <v>43.9424</v>
      </c>
      <c r="D27" s="122">
        <v>12.4578</v>
      </c>
      <c r="E27" s="23" t="s">
        <v>3135</v>
      </c>
      <c r="F27" s="23" t="s">
        <v>3136</v>
      </c>
      <c r="G27" s="23"/>
      <c r="H27" s="23"/>
      <c r="I27" s="23"/>
      <c r="J27" s="23"/>
      <c r="K27" s="23"/>
      <c r="L27" s="23"/>
      <c r="M27" s="23"/>
      <c r="N27" s="23"/>
      <c r="O27" s="23"/>
      <c r="P27" s="23"/>
      <c r="Q27" s="23"/>
      <c r="R27" s="23"/>
      <c r="S27" s="23"/>
      <c r="T27" s="23"/>
      <c r="U27" s="23"/>
      <c r="V27" s="23"/>
      <c r="W27" s="23"/>
      <c r="X27" s="23"/>
      <c r="Y27" s="23"/>
      <c r="Z27" s="23"/>
    </row>
    <row r="28">
      <c r="A28" s="23" t="s">
        <v>3137</v>
      </c>
      <c r="B28" s="23" t="s">
        <v>1848</v>
      </c>
      <c r="C28" s="122">
        <v>40.4637</v>
      </c>
      <c r="D28" s="122">
        <v>-3.7492</v>
      </c>
      <c r="E28" s="136" t="s">
        <v>3138</v>
      </c>
      <c r="F28" s="23" t="s">
        <v>3139</v>
      </c>
      <c r="G28" s="23"/>
      <c r="H28" s="23"/>
      <c r="I28" s="23"/>
      <c r="J28" s="23"/>
      <c r="K28" s="23"/>
      <c r="L28" s="23"/>
      <c r="M28" s="23"/>
      <c r="N28" s="23"/>
      <c r="O28" s="23"/>
      <c r="P28" s="23"/>
      <c r="Q28" s="23"/>
      <c r="R28" s="23"/>
      <c r="S28" s="23"/>
      <c r="T28" s="23"/>
      <c r="U28" s="23"/>
      <c r="V28" s="23"/>
      <c r="W28" s="23"/>
      <c r="X28" s="23"/>
      <c r="Y28" s="23"/>
      <c r="Z28" s="23"/>
    </row>
    <row r="29">
      <c r="A29" s="23" t="s">
        <v>3140</v>
      </c>
      <c r="B29" s="23" t="s">
        <v>1864</v>
      </c>
      <c r="C29" s="122">
        <v>60.1282</v>
      </c>
      <c r="D29" s="122">
        <v>18.6435</v>
      </c>
      <c r="E29" s="23" t="s">
        <v>3141</v>
      </c>
      <c r="F29" s="23" t="s">
        <v>3142</v>
      </c>
      <c r="G29" s="23"/>
      <c r="H29" s="23"/>
      <c r="I29" s="23"/>
      <c r="J29" s="23"/>
      <c r="K29" s="23"/>
      <c r="L29" s="23"/>
      <c r="M29" s="23"/>
      <c r="N29" s="23"/>
      <c r="O29" s="23"/>
      <c r="P29" s="23"/>
      <c r="Q29" s="23"/>
      <c r="R29" s="23"/>
      <c r="S29" s="23"/>
      <c r="T29" s="23"/>
      <c r="U29" s="23"/>
      <c r="V29" s="23"/>
      <c r="W29" s="23"/>
      <c r="X29" s="23"/>
      <c r="Y29" s="23"/>
      <c r="Z29" s="23"/>
    </row>
    <row r="30">
      <c r="A30" s="23" t="s">
        <v>3143</v>
      </c>
      <c r="B30" s="23" t="s">
        <v>1876</v>
      </c>
      <c r="C30" s="122">
        <v>46.8182</v>
      </c>
      <c r="D30" s="122">
        <v>8.2275</v>
      </c>
      <c r="E30" s="23" t="s">
        <v>3144</v>
      </c>
      <c r="F30" s="23" t="s">
        <v>3145</v>
      </c>
      <c r="G30" s="23"/>
      <c r="H30" s="23"/>
      <c r="I30" s="23"/>
      <c r="J30" s="23"/>
      <c r="K30" s="23"/>
      <c r="L30" s="23"/>
      <c r="M30" s="23"/>
      <c r="N30" s="23"/>
      <c r="O30" s="23"/>
      <c r="P30" s="23"/>
      <c r="Q30" s="23"/>
      <c r="R30" s="23"/>
      <c r="S30" s="23"/>
      <c r="T30" s="23"/>
      <c r="U30" s="23"/>
      <c r="V30" s="23"/>
      <c r="W30" s="23"/>
      <c r="X30" s="23"/>
      <c r="Y30" s="23"/>
      <c r="Z30" s="23"/>
    </row>
    <row r="31">
      <c r="A31" s="23" t="s">
        <v>3146</v>
      </c>
      <c r="B31" s="23" t="s">
        <v>1892</v>
      </c>
      <c r="C31" s="122">
        <v>55.3781</v>
      </c>
      <c r="D31" s="122">
        <v>-3.436</v>
      </c>
      <c r="E31" s="23" t="s">
        <v>3147</v>
      </c>
      <c r="F31" s="23" t="s">
        <v>3148</v>
      </c>
      <c r="G31" s="23"/>
      <c r="H31" s="23"/>
      <c r="I31" s="23"/>
      <c r="J31" s="23"/>
      <c r="K31" s="23"/>
      <c r="L31" s="23"/>
      <c r="M31" s="23"/>
      <c r="N31" s="23"/>
      <c r="O31" s="23"/>
      <c r="P31" s="23"/>
      <c r="Q31" s="23"/>
      <c r="R31" s="23"/>
      <c r="S31" s="23"/>
      <c r="T31" s="23"/>
      <c r="U31" s="23"/>
      <c r="V31" s="23"/>
      <c r="W31" s="23"/>
      <c r="X31" s="23"/>
      <c r="Y31" s="23"/>
      <c r="Z31" s="23"/>
    </row>
    <row r="32">
      <c r="A32" s="23" t="s">
        <v>3149</v>
      </c>
      <c r="B32" s="23" t="s">
        <v>1908</v>
      </c>
      <c r="C32" s="122">
        <v>41.9029</v>
      </c>
      <c r="D32" s="122">
        <v>12.4534</v>
      </c>
      <c r="E32" s="23" t="s">
        <v>3150</v>
      </c>
      <c r="F32" s="23" t="s">
        <v>3151</v>
      </c>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1" t="s">
        <v>3152</v>
      </c>
      <c r="B1" s="111" t="s">
        <v>3153</v>
      </c>
      <c r="C1" s="23"/>
      <c r="D1" s="111" t="s">
        <v>3154</v>
      </c>
      <c r="E1" s="111" t="s">
        <v>5</v>
      </c>
      <c r="F1" s="111" t="s">
        <v>2</v>
      </c>
      <c r="G1" s="111" t="s">
        <v>4</v>
      </c>
      <c r="H1" s="111" t="s">
        <v>3155</v>
      </c>
      <c r="I1" s="111" t="s">
        <v>3156</v>
      </c>
      <c r="J1" s="111" t="s">
        <v>3157</v>
      </c>
      <c r="K1" s="111" t="s">
        <v>3158</v>
      </c>
      <c r="L1" s="111" t="s">
        <v>3159</v>
      </c>
      <c r="M1" s="111" t="s">
        <v>3160</v>
      </c>
      <c r="N1" s="111" t="s">
        <v>3161</v>
      </c>
      <c r="O1" s="111" t="s">
        <v>3162</v>
      </c>
      <c r="P1" s="111" t="s">
        <v>3163</v>
      </c>
      <c r="Q1" s="111" t="s">
        <v>3164</v>
      </c>
      <c r="R1" s="23"/>
      <c r="S1" s="23"/>
      <c r="T1" s="23"/>
    </row>
    <row r="2">
      <c r="A2" s="110" t="s">
        <v>2047</v>
      </c>
      <c r="B2" s="137">
        <v>45920.0</v>
      </c>
      <c r="C2" s="111" t="s">
        <v>3165</v>
      </c>
      <c r="D2" s="111" t="s">
        <v>3166</v>
      </c>
      <c r="E2" s="111" t="s">
        <v>3167</v>
      </c>
      <c r="F2" s="111" t="s">
        <v>560</v>
      </c>
      <c r="G2" s="111" t="s">
        <v>600</v>
      </c>
      <c r="H2" s="111" t="s">
        <v>3168</v>
      </c>
      <c r="I2" s="111" t="s">
        <v>3169</v>
      </c>
      <c r="J2" s="23"/>
      <c r="K2" s="111" t="s">
        <v>3170</v>
      </c>
      <c r="L2" s="111" t="s">
        <v>3171</v>
      </c>
      <c r="M2" s="111" t="s">
        <v>3172</v>
      </c>
      <c r="N2" s="111" t="s">
        <v>3173</v>
      </c>
      <c r="O2" s="111" t="s">
        <v>3174</v>
      </c>
      <c r="P2" s="111" t="s">
        <v>3175</v>
      </c>
      <c r="Q2" s="111" t="s">
        <v>3176</v>
      </c>
      <c r="R2" s="23"/>
      <c r="S2" s="23"/>
      <c r="T2" s="23"/>
    </row>
    <row r="3">
      <c r="A3" s="110" t="s">
        <v>2143</v>
      </c>
      <c r="B3" s="137">
        <v>45930.0</v>
      </c>
      <c r="C3" s="23"/>
      <c r="D3" s="23"/>
      <c r="E3" s="23"/>
      <c r="F3" s="111" t="s">
        <v>1848</v>
      </c>
      <c r="G3" s="111" t="s">
        <v>1850</v>
      </c>
      <c r="H3" s="111" t="s">
        <v>3177</v>
      </c>
      <c r="I3" s="23"/>
      <c r="J3" s="23"/>
      <c r="K3" s="23"/>
      <c r="L3" s="23"/>
      <c r="M3" s="23"/>
      <c r="N3" s="23"/>
      <c r="O3" s="23"/>
      <c r="P3" s="23"/>
      <c r="Q3" s="23"/>
      <c r="R3" s="23"/>
      <c r="S3" s="23"/>
      <c r="T3" s="23"/>
    </row>
    <row r="4">
      <c r="A4" s="110" t="s">
        <v>3178</v>
      </c>
      <c r="B4" s="137">
        <v>45945.0</v>
      </c>
      <c r="C4" s="23"/>
      <c r="D4" s="111" t="s">
        <v>3179</v>
      </c>
      <c r="E4" s="111" t="s">
        <v>3180</v>
      </c>
      <c r="F4" s="111" t="s">
        <v>1463</v>
      </c>
      <c r="G4" s="111" t="s">
        <v>3181</v>
      </c>
      <c r="H4" s="111" t="s">
        <v>3182</v>
      </c>
      <c r="I4" s="23"/>
      <c r="J4" s="23"/>
      <c r="K4" s="23"/>
      <c r="L4" s="23"/>
      <c r="M4" s="23"/>
      <c r="N4" s="23"/>
      <c r="O4" s="23"/>
      <c r="P4" s="23"/>
      <c r="Q4" s="23"/>
      <c r="R4" s="23"/>
      <c r="S4" s="23"/>
      <c r="T4" s="23"/>
    </row>
    <row r="5">
      <c r="A5" s="110" t="s">
        <v>3183</v>
      </c>
      <c r="B5" s="111" t="s">
        <v>3184</v>
      </c>
      <c r="C5" s="23"/>
      <c r="D5" s="111" t="s">
        <v>3185</v>
      </c>
      <c r="E5" s="111" t="s">
        <v>3186</v>
      </c>
      <c r="F5" s="111" t="s">
        <v>1892</v>
      </c>
      <c r="G5" s="111" t="s">
        <v>2059</v>
      </c>
      <c r="H5" s="111" t="s">
        <v>3187</v>
      </c>
      <c r="I5" s="111" t="s">
        <v>3188</v>
      </c>
      <c r="J5" s="111" t="s">
        <v>3189</v>
      </c>
      <c r="K5" s="111" t="s">
        <v>3190</v>
      </c>
      <c r="L5" s="111" t="s">
        <v>3191</v>
      </c>
      <c r="M5" s="111" t="s">
        <v>3192</v>
      </c>
      <c r="N5" s="111" t="s">
        <v>3193</v>
      </c>
      <c r="O5" s="111" t="s">
        <v>3194</v>
      </c>
      <c r="P5" s="111" t="s">
        <v>3195</v>
      </c>
      <c r="Q5" s="111" t="s">
        <v>3196</v>
      </c>
      <c r="R5" s="23"/>
      <c r="S5" s="23"/>
      <c r="T5" s="23"/>
    </row>
    <row r="6">
      <c r="A6" s="110" t="s">
        <v>1950</v>
      </c>
      <c r="B6" s="137">
        <v>46052.0</v>
      </c>
      <c r="C6" s="23"/>
      <c r="D6" s="23"/>
      <c r="E6" s="111" t="s">
        <v>3197</v>
      </c>
      <c r="F6" s="111" t="s">
        <v>1864</v>
      </c>
      <c r="G6" s="111" t="s">
        <v>2172</v>
      </c>
      <c r="H6" s="111" t="s">
        <v>3198</v>
      </c>
      <c r="I6" s="23"/>
      <c r="J6" s="23"/>
      <c r="K6" s="23"/>
      <c r="L6" s="23"/>
      <c r="M6" s="111" t="s">
        <v>3199</v>
      </c>
      <c r="N6" s="111" t="s">
        <v>3200</v>
      </c>
      <c r="O6" s="111" t="s">
        <v>3201</v>
      </c>
      <c r="P6" s="111" t="s">
        <v>3202</v>
      </c>
      <c r="Q6" s="23"/>
      <c r="R6" s="23"/>
      <c r="S6" s="23"/>
      <c r="T6" s="23"/>
    </row>
    <row r="7">
      <c r="A7" s="110" t="s">
        <v>3203</v>
      </c>
      <c r="B7" s="137">
        <v>45930.0</v>
      </c>
      <c r="C7" s="23"/>
      <c r="D7" s="111" t="s">
        <v>3204</v>
      </c>
      <c r="E7" s="111" t="s">
        <v>3205</v>
      </c>
      <c r="F7" s="111" t="s">
        <v>278</v>
      </c>
      <c r="G7" s="111" t="s">
        <v>296</v>
      </c>
      <c r="H7" s="23"/>
      <c r="I7" s="23"/>
      <c r="J7" s="23"/>
      <c r="K7" s="111" t="s">
        <v>3206</v>
      </c>
      <c r="L7" s="111" t="s">
        <v>3207</v>
      </c>
      <c r="M7" s="111" t="s">
        <v>3208</v>
      </c>
      <c r="N7" s="111" t="s">
        <v>3209</v>
      </c>
      <c r="O7" s="111" t="s">
        <v>3210</v>
      </c>
      <c r="P7" s="23"/>
      <c r="Q7" s="111" t="s">
        <v>3211</v>
      </c>
      <c r="R7" s="23"/>
      <c r="S7" s="23"/>
      <c r="T7" s="23"/>
    </row>
    <row r="8">
      <c r="A8" s="110" t="s">
        <v>1947</v>
      </c>
      <c r="B8" s="138">
        <v>45962.0</v>
      </c>
      <c r="C8" s="23"/>
      <c r="D8" s="111" t="s">
        <v>3212</v>
      </c>
      <c r="E8" s="111" t="s">
        <v>2094</v>
      </c>
      <c r="F8" s="111" t="s">
        <v>3213</v>
      </c>
      <c r="G8" s="111" t="s">
        <v>2093</v>
      </c>
      <c r="H8" s="111" t="s">
        <v>3214</v>
      </c>
      <c r="I8" s="23"/>
      <c r="J8" s="23"/>
      <c r="K8" s="111" t="s">
        <v>3215</v>
      </c>
      <c r="L8" s="111" t="s">
        <v>3216</v>
      </c>
      <c r="M8" s="111" t="s">
        <v>3217</v>
      </c>
      <c r="N8" s="111" t="s">
        <v>3218</v>
      </c>
      <c r="O8" s="111" t="s">
        <v>3219</v>
      </c>
      <c r="P8" s="111" t="s">
        <v>3220</v>
      </c>
      <c r="Q8" s="111" t="s">
        <v>3221</v>
      </c>
      <c r="R8" s="23"/>
      <c r="S8" s="23"/>
      <c r="T8" s="23"/>
    </row>
    <row r="9">
      <c r="A9" s="111"/>
      <c r="B9" s="23"/>
      <c r="C9" s="23"/>
      <c r="D9" s="23"/>
      <c r="E9" s="23"/>
      <c r="F9" s="23"/>
      <c r="G9" s="23"/>
      <c r="H9" s="23"/>
      <c r="I9" s="23"/>
      <c r="J9" s="23"/>
      <c r="K9" s="23"/>
      <c r="L9" s="23"/>
      <c r="M9" s="23"/>
      <c r="N9" s="23"/>
      <c r="O9" s="23"/>
      <c r="P9" s="23"/>
      <c r="Q9" s="23"/>
      <c r="R9" s="23"/>
      <c r="S9" s="23"/>
      <c r="T9" s="23"/>
    </row>
    <row r="10">
      <c r="A10" s="23"/>
      <c r="B10" s="23"/>
      <c r="C10" s="23"/>
      <c r="D10" s="23"/>
      <c r="E10" s="23"/>
      <c r="F10" s="23"/>
      <c r="G10" s="23"/>
      <c r="H10" s="23"/>
      <c r="I10" s="23"/>
      <c r="J10" s="23"/>
      <c r="K10" s="23"/>
      <c r="L10" s="23"/>
      <c r="M10" s="23"/>
      <c r="N10" s="23"/>
      <c r="O10" s="23"/>
      <c r="P10" s="23"/>
      <c r="Q10" s="23"/>
      <c r="R10" s="23"/>
      <c r="S10" s="23"/>
      <c r="T10" s="23"/>
    </row>
    <row r="11">
      <c r="A11" s="23"/>
      <c r="B11" s="23"/>
      <c r="C11" s="23"/>
      <c r="D11" s="23"/>
      <c r="E11" s="23"/>
      <c r="F11" s="23"/>
      <c r="G11" s="23"/>
      <c r="H11" s="23"/>
      <c r="I11" s="23"/>
      <c r="J11" s="23"/>
      <c r="K11" s="23"/>
      <c r="L11" s="23"/>
      <c r="M11" s="23"/>
      <c r="N11" s="23"/>
      <c r="O11" s="23"/>
      <c r="P11" s="23"/>
      <c r="Q11" s="23"/>
      <c r="R11" s="23"/>
      <c r="S11" s="23"/>
      <c r="T11" s="23"/>
    </row>
    <row r="12">
      <c r="A12" s="23"/>
      <c r="B12" s="23"/>
      <c r="C12" s="23"/>
      <c r="D12" s="23"/>
      <c r="E12" s="23"/>
      <c r="F12" s="23"/>
      <c r="G12" s="23"/>
      <c r="H12" s="23"/>
      <c r="I12" s="23"/>
      <c r="J12" s="23"/>
      <c r="K12" s="23"/>
      <c r="L12" s="23"/>
      <c r="M12" s="23"/>
      <c r="N12" s="23"/>
      <c r="O12" s="23"/>
      <c r="P12" s="23"/>
      <c r="Q12" s="23"/>
      <c r="R12" s="23"/>
      <c r="S12" s="23"/>
      <c r="T12" s="23"/>
    </row>
    <row r="13">
      <c r="A13" s="23"/>
      <c r="B13" s="23"/>
      <c r="C13" s="23"/>
      <c r="D13" s="23"/>
      <c r="E13" s="23"/>
      <c r="F13" s="23"/>
      <c r="G13" s="23"/>
      <c r="H13" s="23"/>
      <c r="I13" s="23"/>
      <c r="J13" s="23"/>
      <c r="K13" s="23"/>
      <c r="L13" s="23"/>
      <c r="M13" s="23"/>
      <c r="N13" s="23"/>
      <c r="O13" s="23"/>
      <c r="P13" s="23"/>
      <c r="Q13" s="23"/>
      <c r="R13" s="23"/>
      <c r="S13" s="23"/>
      <c r="T13" s="23"/>
    </row>
    <row r="14">
      <c r="A14" s="23"/>
      <c r="B14" s="23"/>
      <c r="C14" s="23"/>
      <c r="D14" s="23"/>
      <c r="E14" s="23"/>
      <c r="F14" s="23"/>
      <c r="G14" s="23"/>
      <c r="H14" s="23"/>
      <c r="I14" s="23"/>
      <c r="J14" s="23"/>
      <c r="K14" s="23"/>
      <c r="L14" s="23"/>
      <c r="M14" s="23"/>
      <c r="N14" s="23"/>
      <c r="O14" s="23"/>
      <c r="P14" s="23"/>
      <c r="Q14" s="23"/>
      <c r="R14" s="23"/>
      <c r="S14" s="23"/>
      <c r="T14" s="23"/>
    </row>
    <row r="15">
      <c r="A15" s="23"/>
      <c r="B15" s="23"/>
      <c r="C15" s="23"/>
      <c r="D15" s="23"/>
      <c r="E15" s="23"/>
      <c r="F15" s="23"/>
      <c r="G15" s="23"/>
      <c r="H15" s="23"/>
      <c r="I15" s="23"/>
      <c r="J15" s="23"/>
      <c r="K15" s="23"/>
      <c r="L15" s="23"/>
      <c r="M15" s="23"/>
      <c r="N15" s="23"/>
      <c r="O15" s="23"/>
      <c r="P15" s="23"/>
      <c r="Q15" s="23"/>
      <c r="R15" s="23"/>
      <c r="S15" s="23"/>
      <c r="T15" s="23"/>
    </row>
    <row r="16">
      <c r="A16" s="23"/>
      <c r="B16" s="23"/>
      <c r="C16" s="23"/>
      <c r="D16" s="23"/>
      <c r="E16" s="23"/>
      <c r="F16" s="23"/>
      <c r="G16" s="23"/>
      <c r="H16" s="23"/>
      <c r="I16" s="23"/>
      <c r="J16" s="23"/>
      <c r="K16" s="23"/>
      <c r="L16" s="23"/>
      <c r="M16" s="23"/>
      <c r="N16" s="23"/>
      <c r="O16" s="23"/>
      <c r="P16" s="23"/>
      <c r="Q16" s="23"/>
      <c r="R16" s="23"/>
      <c r="S16" s="23"/>
      <c r="T16" s="23"/>
    </row>
    <row r="17">
      <c r="A17" s="23"/>
      <c r="B17" s="23"/>
      <c r="C17" s="23"/>
      <c r="D17" s="23"/>
      <c r="E17" s="23"/>
      <c r="F17" s="23"/>
      <c r="G17" s="23"/>
      <c r="H17" s="23"/>
      <c r="I17" s="23"/>
      <c r="J17" s="23"/>
      <c r="K17" s="23"/>
      <c r="L17" s="23"/>
      <c r="M17" s="23"/>
      <c r="N17" s="23"/>
      <c r="O17" s="23"/>
      <c r="P17" s="23"/>
      <c r="Q17" s="23"/>
      <c r="R17" s="23"/>
      <c r="S17" s="23"/>
      <c r="T17" s="23"/>
    </row>
    <row r="18">
      <c r="A18" s="23"/>
      <c r="B18" s="23"/>
      <c r="C18" s="23"/>
      <c r="D18" s="23"/>
      <c r="E18" s="23"/>
      <c r="F18" s="23"/>
      <c r="G18" s="23"/>
      <c r="H18" s="23"/>
      <c r="I18" s="23"/>
      <c r="J18" s="23"/>
      <c r="K18" s="23"/>
      <c r="L18" s="23"/>
      <c r="M18" s="23"/>
      <c r="N18" s="23"/>
      <c r="O18" s="23"/>
      <c r="P18" s="23"/>
      <c r="Q18" s="23"/>
      <c r="R18" s="23"/>
      <c r="S18" s="23"/>
      <c r="T18" s="23"/>
    </row>
    <row r="19">
      <c r="A19" s="23"/>
      <c r="B19" s="23"/>
      <c r="C19" s="23"/>
      <c r="D19" s="23"/>
      <c r="E19" s="23"/>
      <c r="F19" s="23"/>
      <c r="G19" s="23"/>
      <c r="H19" s="23"/>
      <c r="I19" s="23"/>
      <c r="J19" s="23"/>
      <c r="K19" s="23"/>
      <c r="L19" s="23"/>
      <c r="M19" s="23"/>
      <c r="N19" s="23"/>
      <c r="O19" s="23"/>
      <c r="P19" s="23"/>
      <c r="Q19" s="23"/>
      <c r="R19" s="23"/>
      <c r="S19" s="23"/>
      <c r="T19" s="23"/>
    </row>
    <row r="20">
      <c r="A20" s="23"/>
      <c r="B20" s="23"/>
      <c r="C20" s="23"/>
      <c r="D20" s="23"/>
      <c r="E20" s="23"/>
      <c r="F20" s="23"/>
      <c r="G20" s="23"/>
      <c r="H20" s="23"/>
      <c r="I20" s="23"/>
      <c r="J20" s="23"/>
      <c r="K20" s="23"/>
      <c r="L20" s="23"/>
      <c r="M20" s="23"/>
      <c r="N20" s="23"/>
      <c r="O20" s="23"/>
      <c r="P20" s="23"/>
      <c r="Q20" s="23"/>
      <c r="R20" s="23"/>
      <c r="S20" s="23"/>
      <c r="T20" s="23"/>
    </row>
    <row r="21">
      <c r="A21" s="23"/>
      <c r="B21" s="23"/>
      <c r="C21" s="23"/>
      <c r="D21" s="23"/>
      <c r="E21" s="23"/>
      <c r="F21" s="23"/>
      <c r="G21" s="23"/>
      <c r="H21" s="23"/>
      <c r="I21" s="23"/>
      <c r="J21" s="23"/>
      <c r="K21" s="23"/>
      <c r="L21" s="23"/>
      <c r="M21" s="23"/>
      <c r="N21" s="23"/>
      <c r="O21" s="23"/>
      <c r="P21" s="23"/>
      <c r="Q21" s="23"/>
      <c r="R21" s="23"/>
      <c r="S21" s="23"/>
      <c r="T21" s="23"/>
    </row>
    <row r="22">
      <c r="A22" s="23"/>
      <c r="B22" s="23"/>
      <c r="C22" s="23"/>
      <c r="D22" s="23"/>
      <c r="E22" s="23"/>
      <c r="F22" s="23"/>
      <c r="G22" s="23"/>
      <c r="H22" s="23"/>
      <c r="I22" s="23"/>
      <c r="J22" s="23"/>
      <c r="K22" s="23"/>
      <c r="L22" s="23"/>
      <c r="M22" s="23"/>
      <c r="N22" s="23"/>
      <c r="O22" s="23"/>
      <c r="P22" s="23"/>
      <c r="Q22" s="23"/>
      <c r="R22" s="23"/>
      <c r="S22" s="23"/>
      <c r="T22" s="23"/>
    </row>
    <row r="23">
      <c r="A23" s="23"/>
      <c r="B23" s="23"/>
      <c r="C23" s="23"/>
      <c r="D23" s="23"/>
      <c r="E23" s="23"/>
      <c r="F23" s="23"/>
      <c r="G23" s="23"/>
      <c r="H23" s="23"/>
      <c r="I23" s="23"/>
      <c r="J23" s="23"/>
      <c r="K23" s="23"/>
      <c r="L23" s="23"/>
      <c r="M23" s="23"/>
      <c r="N23" s="23"/>
      <c r="O23" s="23"/>
      <c r="P23" s="23"/>
      <c r="Q23" s="23"/>
      <c r="R23" s="23"/>
      <c r="S23" s="23"/>
      <c r="T23" s="23"/>
    </row>
    <row r="24">
      <c r="A24" s="23"/>
      <c r="B24" s="23"/>
      <c r="C24" s="23"/>
      <c r="D24" s="23"/>
      <c r="E24" s="23"/>
      <c r="F24" s="23"/>
      <c r="G24" s="23"/>
      <c r="H24" s="23"/>
      <c r="I24" s="23"/>
      <c r="J24" s="23"/>
      <c r="K24" s="23"/>
      <c r="L24" s="23"/>
      <c r="M24" s="23"/>
      <c r="N24" s="23"/>
      <c r="O24" s="23"/>
      <c r="P24" s="23"/>
      <c r="Q24" s="23"/>
      <c r="R24" s="23"/>
      <c r="S24" s="23"/>
      <c r="T24" s="23"/>
    </row>
    <row r="25">
      <c r="A25" s="23"/>
      <c r="B25" s="23"/>
      <c r="C25" s="23"/>
      <c r="D25" s="23"/>
      <c r="E25" s="23"/>
      <c r="F25" s="23"/>
      <c r="G25" s="23"/>
      <c r="H25" s="23"/>
      <c r="I25" s="23"/>
      <c r="J25" s="23"/>
      <c r="K25" s="23"/>
      <c r="L25" s="23"/>
      <c r="M25" s="23"/>
      <c r="N25" s="23"/>
      <c r="O25" s="23"/>
      <c r="P25" s="23"/>
      <c r="Q25" s="23"/>
      <c r="R25" s="23"/>
      <c r="S25" s="23"/>
      <c r="T25" s="23"/>
    </row>
    <row r="26">
      <c r="A26" s="23"/>
      <c r="B26" s="23"/>
      <c r="C26" s="23"/>
      <c r="D26" s="23"/>
      <c r="E26" s="23"/>
      <c r="F26" s="23"/>
      <c r="G26" s="23"/>
      <c r="H26" s="23"/>
      <c r="I26" s="23"/>
      <c r="J26" s="23"/>
      <c r="K26" s="23"/>
      <c r="L26" s="23"/>
      <c r="M26" s="23"/>
      <c r="N26" s="23"/>
      <c r="O26" s="23"/>
      <c r="P26" s="23"/>
      <c r="Q26" s="23"/>
      <c r="R26" s="23"/>
      <c r="S26" s="23"/>
      <c r="T26" s="23"/>
    </row>
    <row r="27">
      <c r="A27" s="23"/>
      <c r="B27" s="23"/>
      <c r="C27" s="23"/>
      <c r="D27" s="23"/>
      <c r="E27" s="23"/>
      <c r="F27" s="23"/>
      <c r="G27" s="23"/>
      <c r="H27" s="23"/>
      <c r="I27" s="23"/>
      <c r="J27" s="23"/>
      <c r="K27" s="23"/>
      <c r="L27" s="23"/>
      <c r="M27" s="23"/>
      <c r="N27" s="23"/>
      <c r="O27" s="23"/>
      <c r="P27" s="23"/>
      <c r="Q27" s="23"/>
      <c r="R27" s="23"/>
      <c r="S27" s="23"/>
      <c r="T27" s="23"/>
    </row>
    <row r="28">
      <c r="A28" s="23"/>
      <c r="B28" s="23"/>
      <c r="C28" s="23"/>
      <c r="D28" s="23"/>
      <c r="E28" s="23"/>
      <c r="F28" s="23"/>
      <c r="G28" s="23"/>
      <c r="H28" s="23"/>
      <c r="I28" s="23"/>
      <c r="J28" s="23"/>
      <c r="K28" s="23"/>
      <c r="L28" s="23"/>
      <c r="M28" s="23"/>
      <c r="N28" s="23"/>
      <c r="O28" s="23"/>
      <c r="P28" s="23"/>
      <c r="Q28" s="23"/>
      <c r="R28" s="23"/>
      <c r="S28" s="23"/>
      <c r="T28" s="23"/>
    </row>
    <row r="29">
      <c r="A29" s="23"/>
      <c r="B29" s="23"/>
      <c r="C29" s="23"/>
      <c r="D29" s="23"/>
      <c r="E29" s="23"/>
      <c r="F29" s="23"/>
      <c r="G29" s="23"/>
      <c r="H29" s="23"/>
      <c r="I29" s="23"/>
      <c r="J29" s="23"/>
      <c r="K29" s="23"/>
      <c r="L29" s="23"/>
      <c r="M29" s="23"/>
      <c r="N29" s="23"/>
      <c r="O29" s="23"/>
      <c r="P29" s="23"/>
      <c r="Q29" s="23"/>
      <c r="R29" s="23"/>
      <c r="S29" s="23"/>
      <c r="T29" s="23"/>
    </row>
    <row r="30">
      <c r="A30" s="23"/>
      <c r="B30" s="23"/>
      <c r="C30" s="23"/>
      <c r="D30" s="23"/>
      <c r="E30" s="23"/>
      <c r="F30" s="23"/>
      <c r="G30" s="23"/>
      <c r="H30" s="23"/>
      <c r="I30" s="23"/>
      <c r="J30" s="23"/>
      <c r="K30" s="23"/>
      <c r="L30" s="23"/>
      <c r="M30" s="23"/>
      <c r="N30" s="23"/>
      <c r="O30" s="23"/>
      <c r="P30" s="23"/>
      <c r="Q30" s="23"/>
      <c r="R30" s="23"/>
      <c r="S30" s="23"/>
      <c r="T30" s="23"/>
    </row>
    <row r="31">
      <c r="A31" s="23"/>
      <c r="B31" s="23"/>
      <c r="C31" s="23"/>
      <c r="D31" s="23"/>
      <c r="E31" s="23"/>
      <c r="F31" s="23"/>
      <c r="G31" s="23"/>
      <c r="H31" s="23"/>
      <c r="I31" s="23"/>
      <c r="J31" s="23"/>
      <c r="K31" s="23"/>
      <c r="L31" s="23"/>
      <c r="M31" s="23"/>
      <c r="N31" s="23"/>
      <c r="O31" s="23"/>
      <c r="P31" s="23"/>
      <c r="Q31" s="23"/>
      <c r="R31" s="23"/>
      <c r="S31" s="23"/>
      <c r="T31" s="23"/>
    </row>
    <row r="32">
      <c r="A32" s="23"/>
      <c r="B32" s="23"/>
      <c r="C32" s="23"/>
      <c r="D32" s="23"/>
      <c r="E32" s="23"/>
      <c r="F32" s="23"/>
      <c r="G32" s="23"/>
      <c r="H32" s="23"/>
      <c r="I32" s="23"/>
      <c r="J32" s="23"/>
      <c r="K32" s="23"/>
      <c r="L32" s="23"/>
      <c r="M32" s="23"/>
      <c r="N32" s="23"/>
      <c r="O32" s="23"/>
      <c r="P32" s="23"/>
      <c r="Q32" s="23"/>
      <c r="R32" s="23"/>
      <c r="S32" s="23"/>
      <c r="T32" s="23"/>
    </row>
    <row r="33">
      <c r="A33" s="23"/>
      <c r="B33" s="23"/>
      <c r="C33" s="23"/>
      <c r="D33" s="23"/>
      <c r="E33" s="23"/>
      <c r="F33" s="23"/>
      <c r="G33" s="23"/>
      <c r="H33" s="23"/>
      <c r="I33" s="23"/>
      <c r="J33" s="23"/>
      <c r="K33" s="23"/>
      <c r="L33" s="23"/>
      <c r="M33" s="23"/>
      <c r="N33" s="23"/>
      <c r="O33" s="23"/>
      <c r="P33" s="23"/>
      <c r="Q33" s="23"/>
      <c r="R33" s="23"/>
      <c r="S33" s="23"/>
      <c r="T33" s="23"/>
    </row>
    <row r="34">
      <c r="A34" s="23"/>
      <c r="B34" s="23"/>
      <c r="C34" s="23"/>
      <c r="D34" s="23"/>
      <c r="E34" s="23"/>
      <c r="F34" s="23"/>
      <c r="G34" s="23"/>
      <c r="H34" s="23"/>
      <c r="I34" s="23"/>
      <c r="J34" s="23"/>
      <c r="K34" s="23"/>
      <c r="L34" s="23"/>
      <c r="M34" s="23"/>
      <c r="N34" s="23"/>
      <c r="O34" s="23"/>
      <c r="P34" s="23"/>
      <c r="Q34" s="23"/>
      <c r="R34" s="23"/>
      <c r="S34" s="23"/>
      <c r="T34" s="23"/>
    </row>
    <row r="35">
      <c r="A35" s="23"/>
      <c r="B35" s="23"/>
      <c r="C35" s="23"/>
      <c r="D35" s="23"/>
      <c r="E35" s="23"/>
      <c r="F35" s="23"/>
      <c r="G35" s="23"/>
      <c r="H35" s="23"/>
      <c r="I35" s="23"/>
      <c r="J35" s="23"/>
      <c r="K35" s="23"/>
      <c r="L35" s="23"/>
      <c r="M35" s="23"/>
      <c r="N35" s="23"/>
      <c r="O35" s="23"/>
      <c r="P35" s="23"/>
      <c r="Q35" s="23"/>
      <c r="R35" s="23"/>
      <c r="S35" s="23"/>
      <c r="T35" s="23"/>
    </row>
    <row r="36">
      <c r="A36" s="23"/>
      <c r="B36" s="23"/>
      <c r="C36" s="23"/>
      <c r="D36" s="23"/>
      <c r="E36" s="23"/>
      <c r="F36" s="23"/>
      <c r="G36" s="23"/>
      <c r="H36" s="23"/>
      <c r="I36" s="23"/>
      <c r="J36" s="23"/>
      <c r="K36" s="23"/>
      <c r="L36" s="23"/>
      <c r="M36" s="23"/>
      <c r="N36" s="23"/>
      <c r="O36" s="23"/>
      <c r="P36" s="23"/>
      <c r="Q36" s="23"/>
      <c r="R36" s="23"/>
      <c r="S36" s="23"/>
      <c r="T36" s="23"/>
    </row>
    <row r="37">
      <c r="A37" s="23"/>
      <c r="B37" s="23"/>
      <c r="C37" s="23"/>
      <c r="D37" s="23"/>
      <c r="E37" s="23"/>
      <c r="F37" s="23"/>
      <c r="G37" s="23"/>
      <c r="H37" s="23"/>
      <c r="I37" s="23"/>
      <c r="J37" s="23"/>
      <c r="K37" s="23"/>
      <c r="L37" s="23"/>
      <c r="M37" s="23"/>
      <c r="N37" s="23"/>
      <c r="O37" s="23"/>
      <c r="P37" s="23"/>
      <c r="Q37" s="23"/>
      <c r="R37" s="23"/>
      <c r="S37" s="23"/>
      <c r="T37" s="23"/>
    </row>
    <row r="38">
      <c r="A38" s="23"/>
      <c r="B38" s="23"/>
      <c r="C38" s="23"/>
      <c r="D38" s="23"/>
      <c r="E38" s="23"/>
      <c r="F38" s="23"/>
      <c r="G38" s="23"/>
      <c r="H38" s="23"/>
      <c r="I38" s="23"/>
      <c r="J38" s="23"/>
      <c r="K38" s="23"/>
      <c r="L38" s="23"/>
      <c r="M38" s="23"/>
      <c r="N38" s="23"/>
      <c r="O38" s="23"/>
      <c r="P38" s="23"/>
      <c r="Q38" s="23"/>
      <c r="R38" s="23"/>
      <c r="S38" s="23"/>
      <c r="T38" s="23"/>
    </row>
    <row r="39">
      <c r="A39" s="23"/>
      <c r="B39" s="23"/>
      <c r="C39" s="23"/>
      <c r="D39" s="23"/>
      <c r="E39" s="23"/>
      <c r="F39" s="23"/>
      <c r="G39" s="23"/>
      <c r="H39" s="23"/>
      <c r="I39" s="23"/>
      <c r="J39" s="23"/>
      <c r="K39" s="23"/>
      <c r="L39" s="23"/>
      <c r="M39" s="23"/>
      <c r="N39" s="23"/>
      <c r="O39" s="23"/>
      <c r="P39" s="23"/>
      <c r="Q39" s="23"/>
      <c r="R39" s="23"/>
      <c r="S39" s="23"/>
      <c r="T39" s="23"/>
    </row>
    <row r="40">
      <c r="A40" s="23"/>
      <c r="B40" s="23"/>
      <c r="C40" s="23"/>
      <c r="D40" s="23"/>
      <c r="E40" s="23"/>
      <c r="F40" s="23"/>
      <c r="G40" s="23"/>
      <c r="H40" s="23"/>
      <c r="I40" s="23"/>
      <c r="J40" s="23"/>
      <c r="K40" s="23"/>
      <c r="L40" s="23"/>
      <c r="M40" s="23"/>
      <c r="N40" s="23"/>
      <c r="O40" s="23"/>
      <c r="P40" s="23"/>
      <c r="Q40" s="23"/>
      <c r="R40" s="23"/>
      <c r="S40" s="23"/>
      <c r="T40" s="23"/>
    </row>
    <row r="41">
      <c r="A41" s="23"/>
      <c r="B41" s="23"/>
      <c r="C41" s="23"/>
      <c r="D41" s="23"/>
      <c r="E41" s="23"/>
      <c r="F41" s="23"/>
      <c r="G41" s="23"/>
      <c r="H41" s="23"/>
      <c r="I41" s="23"/>
      <c r="J41" s="23"/>
      <c r="K41" s="23"/>
      <c r="L41" s="23"/>
      <c r="M41" s="23"/>
      <c r="N41" s="23"/>
      <c r="O41" s="23"/>
      <c r="P41" s="23"/>
      <c r="Q41" s="23"/>
      <c r="R41" s="23"/>
      <c r="S41" s="23"/>
      <c r="T41" s="23"/>
    </row>
    <row r="42">
      <c r="A42" s="23"/>
      <c r="B42" s="23"/>
      <c r="C42" s="23"/>
      <c r="D42" s="23"/>
      <c r="E42" s="23"/>
      <c r="F42" s="23"/>
      <c r="G42" s="23"/>
      <c r="H42" s="23"/>
      <c r="I42" s="23"/>
      <c r="J42" s="23"/>
      <c r="K42" s="23"/>
      <c r="L42" s="23"/>
      <c r="M42" s="23"/>
      <c r="N42" s="23"/>
      <c r="O42" s="23"/>
      <c r="P42" s="23"/>
      <c r="Q42" s="23"/>
      <c r="R42" s="23"/>
      <c r="S42" s="23"/>
      <c r="T42" s="23"/>
    </row>
    <row r="43">
      <c r="A43" s="23"/>
      <c r="B43" s="23"/>
      <c r="C43" s="23"/>
      <c r="D43" s="23"/>
      <c r="E43" s="23"/>
      <c r="F43" s="23"/>
      <c r="G43" s="23"/>
      <c r="H43" s="23"/>
      <c r="I43" s="23"/>
      <c r="J43" s="23"/>
      <c r="K43" s="23"/>
      <c r="L43" s="23"/>
      <c r="M43" s="23"/>
      <c r="N43" s="23"/>
      <c r="O43" s="23"/>
      <c r="P43" s="23"/>
      <c r="Q43" s="23"/>
      <c r="R43" s="23"/>
      <c r="S43" s="23"/>
      <c r="T43" s="23"/>
    </row>
    <row r="44">
      <c r="A44" s="23"/>
      <c r="B44" s="23"/>
      <c r="C44" s="23"/>
      <c r="D44" s="23"/>
      <c r="E44" s="23"/>
      <c r="F44" s="23"/>
      <c r="G44" s="23"/>
      <c r="H44" s="23"/>
      <c r="I44" s="23"/>
      <c r="J44" s="23"/>
      <c r="K44" s="23"/>
      <c r="L44" s="23"/>
      <c r="M44" s="23"/>
      <c r="N44" s="23"/>
      <c r="O44" s="23"/>
      <c r="P44" s="23"/>
      <c r="Q44" s="23"/>
      <c r="R44" s="23"/>
      <c r="S44" s="23"/>
      <c r="T44" s="23"/>
    </row>
    <row r="45">
      <c r="A45" s="23"/>
      <c r="B45" s="23"/>
      <c r="C45" s="23"/>
      <c r="D45" s="23"/>
      <c r="E45" s="23"/>
      <c r="F45" s="23"/>
      <c r="G45" s="23"/>
      <c r="H45" s="23"/>
      <c r="I45" s="23"/>
      <c r="J45" s="23"/>
      <c r="K45" s="23"/>
      <c r="L45" s="23"/>
      <c r="M45" s="23"/>
      <c r="N45" s="23"/>
      <c r="O45" s="23"/>
      <c r="P45" s="23"/>
      <c r="Q45" s="23"/>
      <c r="R45" s="23"/>
      <c r="S45" s="23"/>
      <c r="T45" s="23"/>
    </row>
    <row r="46">
      <c r="A46" s="23"/>
      <c r="B46" s="23"/>
      <c r="C46" s="23"/>
      <c r="D46" s="23"/>
      <c r="E46" s="23"/>
      <c r="F46" s="23"/>
      <c r="G46" s="23"/>
      <c r="H46" s="23"/>
      <c r="I46" s="23"/>
      <c r="J46" s="23"/>
      <c r="K46" s="23"/>
      <c r="L46" s="23"/>
      <c r="M46" s="23"/>
      <c r="N46" s="23"/>
      <c r="O46" s="23"/>
      <c r="P46" s="23"/>
      <c r="Q46" s="23"/>
      <c r="R46" s="23"/>
      <c r="S46" s="23"/>
      <c r="T46" s="23"/>
    </row>
    <row r="47">
      <c r="A47" s="23"/>
      <c r="B47" s="23"/>
      <c r="C47" s="23"/>
      <c r="D47" s="23"/>
      <c r="E47" s="23"/>
      <c r="F47" s="23"/>
      <c r="G47" s="23"/>
      <c r="H47" s="23"/>
      <c r="I47" s="23"/>
      <c r="J47" s="23"/>
      <c r="K47" s="23"/>
      <c r="L47" s="23"/>
      <c r="M47" s="23"/>
      <c r="N47" s="23"/>
      <c r="O47" s="23"/>
      <c r="P47" s="23"/>
      <c r="Q47" s="23"/>
      <c r="R47" s="23"/>
      <c r="S47" s="23"/>
      <c r="T47" s="23"/>
    </row>
    <row r="48">
      <c r="A48" s="23"/>
      <c r="B48" s="23"/>
      <c r="C48" s="23"/>
      <c r="D48" s="23"/>
      <c r="E48" s="23"/>
      <c r="F48" s="23"/>
      <c r="G48" s="23"/>
      <c r="H48" s="23"/>
      <c r="I48" s="23"/>
      <c r="J48" s="23"/>
      <c r="K48" s="23"/>
      <c r="L48" s="23"/>
      <c r="M48" s="23"/>
      <c r="N48" s="23"/>
      <c r="O48" s="23"/>
      <c r="P48" s="23"/>
      <c r="Q48" s="23"/>
      <c r="R48" s="23"/>
      <c r="S48" s="23"/>
      <c r="T48" s="23"/>
    </row>
    <row r="49">
      <c r="A49" s="23"/>
      <c r="B49" s="23"/>
      <c r="C49" s="23"/>
      <c r="D49" s="23"/>
      <c r="E49" s="23"/>
      <c r="F49" s="23"/>
      <c r="G49" s="23"/>
      <c r="H49" s="23"/>
      <c r="I49" s="23"/>
      <c r="J49" s="23"/>
      <c r="K49" s="23"/>
      <c r="L49" s="23"/>
      <c r="M49" s="23"/>
      <c r="N49" s="23"/>
      <c r="O49" s="23"/>
      <c r="P49" s="23"/>
      <c r="Q49" s="23"/>
      <c r="R49" s="23"/>
      <c r="S49" s="23"/>
      <c r="T49" s="23"/>
    </row>
    <row r="50">
      <c r="A50" s="23"/>
      <c r="B50" s="23"/>
      <c r="C50" s="23"/>
      <c r="D50" s="23"/>
      <c r="E50" s="23"/>
      <c r="F50" s="23"/>
      <c r="G50" s="23"/>
      <c r="H50" s="23"/>
      <c r="I50" s="23"/>
      <c r="J50" s="23"/>
      <c r="K50" s="23"/>
      <c r="L50" s="23"/>
      <c r="M50" s="23"/>
      <c r="N50" s="23"/>
      <c r="O50" s="23"/>
      <c r="P50" s="23"/>
      <c r="Q50" s="23"/>
      <c r="R50" s="23"/>
      <c r="S50" s="23"/>
      <c r="T50" s="23"/>
    </row>
    <row r="51">
      <c r="A51" s="23"/>
      <c r="B51" s="23"/>
      <c r="C51" s="23"/>
      <c r="D51" s="23"/>
      <c r="E51" s="23"/>
      <c r="F51" s="23"/>
      <c r="G51" s="23"/>
      <c r="H51" s="23"/>
      <c r="I51" s="23"/>
      <c r="J51" s="23"/>
      <c r="K51" s="23"/>
      <c r="L51" s="23"/>
      <c r="M51" s="23"/>
      <c r="N51" s="23"/>
      <c r="O51" s="23"/>
      <c r="P51" s="23"/>
      <c r="Q51" s="23"/>
      <c r="R51" s="23"/>
      <c r="S51" s="23"/>
      <c r="T51" s="23"/>
    </row>
    <row r="52">
      <c r="A52" s="23"/>
      <c r="B52" s="23"/>
      <c r="C52" s="23"/>
      <c r="D52" s="23"/>
      <c r="E52" s="23"/>
      <c r="F52" s="23"/>
      <c r="G52" s="23"/>
      <c r="H52" s="23"/>
      <c r="I52" s="23"/>
      <c r="J52" s="23"/>
      <c r="K52" s="23"/>
      <c r="L52" s="23"/>
      <c r="M52" s="23"/>
      <c r="N52" s="23"/>
      <c r="O52" s="23"/>
      <c r="P52" s="23"/>
      <c r="Q52" s="23"/>
      <c r="R52" s="23"/>
      <c r="S52" s="23"/>
      <c r="T52" s="23"/>
    </row>
    <row r="53">
      <c r="A53" s="23"/>
      <c r="B53" s="23"/>
      <c r="C53" s="23"/>
      <c r="D53" s="23"/>
      <c r="E53" s="23"/>
      <c r="F53" s="23"/>
      <c r="G53" s="23"/>
      <c r="H53" s="23"/>
      <c r="I53" s="23"/>
      <c r="J53" s="23"/>
      <c r="K53" s="23"/>
      <c r="L53" s="23"/>
      <c r="M53" s="23"/>
      <c r="N53" s="23"/>
      <c r="O53" s="23"/>
      <c r="P53" s="23"/>
      <c r="Q53" s="23"/>
      <c r="R53" s="23"/>
      <c r="S53" s="23"/>
      <c r="T53" s="23"/>
    </row>
    <row r="54">
      <c r="A54" s="23"/>
      <c r="B54" s="23"/>
      <c r="C54" s="23"/>
      <c r="D54" s="23"/>
      <c r="E54" s="23"/>
      <c r="F54" s="23"/>
      <c r="G54" s="23"/>
      <c r="H54" s="23"/>
      <c r="I54" s="23"/>
      <c r="J54" s="23"/>
      <c r="K54" s="23"/>
      <c r="L54" s="23"/>
      <c r="M54" s="23"/>
      <c r="N54" s="23"/>
      <c r="O54" s="23"/>
      <c r="P54" s="23"/>
      <c r="Q54" s="23"/>
      <c r="R54" s="23"/>
      <c r="S54" s="23"/>
      <c r="T54" s="23"/>
    </row>
    <row r="55">
      <c r="A55" s="23"/>
      <c r="B55" s="23"/>
      <c r="C55" s="23"/>
      <c r="D55" s="23"/>
      <c r="E55" s="23"/>
      <c r="F55" s="23"/>
      <c r="G55" s="23"/>
      <c r="H55" s="23"/>
      <c r="I55" s="23"/>
      <c r="J55" s="23"/>
      <c r="K55" s="23"/>
      <c r="L55" s="23"/>
      <c r="M55" s="23"/>
      <c r="N55" s="23"/>
      <c r="O55" s="23"/>
      <c r="P55" s="23"/>
      <c r="Q55" s="23"/>
      <c r="R55" s="23"/>
      <c r="S55" s="23"/>
      <c r="T55" s="23"/>
    </row>
    <row r="56">
      <c r="A56" s="23"/>
      <c r="B56" s="23"/>
      <c r="C56" s="23"/>
      <c r="D56" s="23"/>
      <c r="E56" s="23"/>
      <c r="F56" s="23"/>
      <c r="G56" s="23"/>
      <c r="H56" s="23"/>
      <c r="I56" s="23"/>
      <c r="J56" s="23"/>
      <c r="K56" s="23"/>
      <c r="L56" s="23"/>
      <c r="M56" s="23"/>
      <c r="N56" s="23"/>
      <c r="O56" s="23"/>
      <c r="P56" s="23"/>
      <c r="Q56" s="23"/>
      <c r="R56" s="23"/>
      <c r="S56" s="23"/>
      <c r="T56" s="23"/>
    </row>
    <row r="57">
      <c r="A57" s="23"/>
      <c r="B57" s="23"/>
      <c r="C57" s="23"/>
      <c r="D57" s="23"/>
      <c r="E57" s="23"/>
      <c r="F57" s="23"/>
      <c r="G57" s="23"/>
      <c r="H57" s="23"/>
      <c r="I57" s="23"/>
      <c r="J57" s="23"/>
      <c r="K57" s="23"/>
      <c r="L57" s="23"/>
      <c r="M57" s="23"/>
      <c r="N57" s="23"/>
      <c r="O57" s="23"/>
      <c r="P57" s="23"/>
      <c r="Q57" s="23"/>
      <c r="R57" s="23"/>
      <c r="S57" s="23"/>
      <c r="T57" s="23"/>
    </row>
    <row r="58">
      <c r="A58" s="23"/>
      <c r="B58" s="23"/>
      <c r="C58" s="23"/>
      <c r="D58" s="23"/>
      <c r="E58" s="23"/>
      <c r="F58" s="23"/>
      <c r="G58" s="23"/>
      <c r="H58" s="23"/>
      <c r="I58" s="23"/>
      <c r="J58" s="23"/>
      <c r="K58" s="23"/>
      <c r="L58" s="23"/>
      <c r="M58" s="23"/>
      <c r="N58" s="23"/>
      <c r="O58" s="23"/>
      <c r="P58" s="23"/>
      <c r="Q58" s="23"/>
      <c r="R58" s="23"/>
      <c r="S58" s="23"/>
      <c r="T58" s="23"/>
    </row>
    <row r="59">
      <c r="A59" s="23"/>
      <c r="B59" s="23"/>
      <c r="C59" s="23"/>
      <c r="D59" s="23"/>
      <c r="E59" s="23"/>
      <c r="F59" s="23"/>
      <c r="G59" s="23"/>
      <c r="H59" s="23"/>
      <c r="I59" s="23"/>
      <c r="J59" s="23"/>
      <c r="K59" s="23"/>
      <c r="L59" s="23"/>
      <c r="M59" s="23"/>
      <c r="N59" s="23"/>
      <c r="O59" s="23"/>
      <c r="P59" s="23"/>
      <c r="Q59" s="23"/>
      <c r="R59" s="23"/>
      <c r="S59" s="23"/>
      <c r="T59" s="23"/>
    </row>
    <row r="60">
      <c r="A60" s="23"/>
      <c r="B60" s="23"/>
      <c r="C60" s="23"/>
      <c r="D60" s="23"/>
      <c r="E60" s="23"/>
      <c r="F60" s="23"/>
      <c r="G60" s="23"/>
      <c r="H60" s="23"/>
      <c r="I60" s="23"/>
      <c r="J60" s="23"/>
      <c r="K60" s="23"/>
      <c r="L60" s="23"/>
      <c r="M60" s="23"/>
      <c r="N60" s="23"/>
      <c r="O60" s="23"/>
      <c r="P60" s="23"/>
      <c r="Q60" s="23"/>
      <c r="R60" s="23"/>
      <c r="S60" s="23"/>
      <c r="T60" s="23"/>
    </row>
    <row r="61">
      <c r="A61" s="23"/>
      <c r="B61" s="23"/>
      <c r="C61" s="23"/>
      <c r="D61" s="23"/>
      <c r="E61" s="23"/>
      <c r="F61" s="23"/>
      <c r="G61" s="23"/>
      <c r="H61" s="23"/>
      <c r="I61" s="23"/>
      <c r="J61" s="23"/>
      <c r="K61" s="23"/>
      <c r="L61" s="23"/>
      <c r="M61" s="23"/>
      <c r="N61" s="23"/>
      <c r="O61" s="23"/>
      <c r="P61" s="23"/>
      <c r="Q61" s="23"/>
      <c r="R61" s="23"/>
      <c r="S61" s="23"/>
      <c r="T61" s="23"/>
    </row>
    <row r="62">
      <c r="A62" s="23"/>
      <c r="B62" s="23"/>
      <c r="C62" s="23"/>
      <c r="D62" s="23"/>
      <c r="E62" s="23"/>
      <c r="F62" s="23"/>
      <c r="G62" s="23"/>
      <c r="H62" s="23"/>
      <c r="I62" s="23"/>
      <c r="J62" s="23"/>
      <c r="K62" s="23"/>
      <c r="L62" s="23"/>
      <c r="M62" s="23"/>
      <c r="N62" s="23"/>
      <c r="O62" s="23"/>
      <c r="P62" s="23"/>
      <c r="Q62" s="23"/>
      <c r="R62" s="23"/>
      <c r="S62" s="23"/>
      <c r="T62" s="23"/>
    </row>
    <row r="63">
      <c r="A63" s="23"/>
      <c r="B63" s="23"/>
      <c r="C63" s="23"/>
      <c r="D63" s="23"/>
      <c r="E63" s="23"/>
      <c r="F63" s="23"/>
      <c r="G63" s="23"/>
      <c r="H63" s="23"/>
      <c r="I63" s="23"/>
      <c r="J63" s="23"/>
      <c r="K63" s="23"/>
      <c r="L63" s="23"/>
      <c r="M63" s="23"/>
      <c r="N63" s="23"/>
      <c r="O63" s="23"/>
      <c r="P63" s="23"/>
      <c r="Q63" s="23"/>
      <c r="R63" s="23"/>
      <c r="S63" s="23"/>
      <c r="T63" s="23"/>
    </row>
    <row r="64">
      <c r="A64" s="23"/>
      <c r="B64" s="23"/>
      <c r="C64" s="23"/>
      <c r="D64" s="23"/>
      <c r="E64" s="23"/>
      <c r="F64" s="23"/>
      <c r="G64" s="23"/>
      <c r="H64" s="23"/>
      <c r="I64" s="23"/>
      <c r="J64" s="23"/>
      <c r="K64" s="23"/>
      <c r="L64" s="23"/>
      <c r="M64" s="23"/>
      <c r="N64" s="23"/>
      <c r="O64" s="23"/>
      <c r="P64" s="23"/>
      <c r="Q64" s="23"/>
      <c r="R64" s="23"/>
      <c r="S64" s="23"/>
      <c r="T64" s="23"/>
    </row>
    <row r="65">
      <c r="A65" s="23"/>
      <c r="B65" s="23"/>
      <c r="C65" s="23"/>
      <c r="D65" s="23"/>
      <c r="E65" s="23"/>
      <c r="F65" s="23"/>
      <c r="G65" s="23"/>
      <c r="H65" s="23"/>
      <c r="I65" s="23"/>
      <c r="J65" s="23"/>
      <c r="K65" s="23"/>
      <c r="L65" s="23"/>
      <c r="M65" s="23"/>
      <c r="N65" s="23"/>
      <c r="O65" s="23"/>
      <c r="P65" s="23"/>
      <c r="Q65" s="23"/>
      <c r="R65" s="23"/>
      <c r="S65" s="23"/>
      <c r="T65" s="23"/>
    </row>
    <row r="66">
      <c r="A66" s="23"/>
      <c r="B66" s="23"/>
      <c r="C66" s="23"/>
      <c r="D66" s="23"/>
      <c r="E66" s="23"/>
      <c r="F66" s="23"/>
      <c r="G66" s="23"/>
      <c r="H66" s="23"/>
      <c r="I66" s="23"/>
      <c r="J66" s="23"/>
      <c r="K66" s="23"/>
      <c r="L66" s="23"/>
      <c r="M66" s="23"/>
      <c r="N66" s="23"/>
      <c r="O66" s="23"/>
      <c r="P66" s="23"/>
      <c r="Q66" s="23"/>
      <c r="R66" s="23"/>
      <c r="S66" s="23"/>
      <c r="T66" s="23"/>
    </row>
    <row r="67">
      <c r="A67" s="23"/>
      <c r="B67" s="23"/>
      <c r="C67" s="23"/>
      <c r="D67" s="23"/>
      <c r="E67" s="23"/>
      <c r="F67" s="23"/>
      <c r="G67" s="23"/>
      <c r="H67" s="23"/>
      <c r="I67" s="23"/>
      <c r="J67" s="23"/>
      <c r="K67" s="23"/>
      <c r="L67" s="23"/>
      <c r="M67" s="23"/>
      <c r="N67" s="23"/>
      <c r="O67" s="23"/>
      <c r="P67" s="23"/>
      <c r="Q67" s="23"/>
      <c r="R67" s="23"/>
      <c r="S67" s="23"/>
      <c r="T67" s="23"/>
    </row>
    <row r="68">
      <c r="A68" s="23"/>
      <c r="B68" s="23"/>
      <c r="C68" s="23"/>
      <c r="D68" s="23"/>
      <c r="E68" s="23"/>
      <c r="F68" s="23"/>
      <c r="G68" s="23"/>
      <c r="H68" s="23"/>
      <c r="I68" s="23"/>
      <c r="J68" s="23"/>
      <c r="K68" s="23"/>
      <c r="L68" s="23"/>
      <c r="M68" s="23"/>
      <c r="N68" s="23"/>
      <c r="O68" s="23"/>
      <c r="P68" s="23"/>
      <c r="Q68" s="23"/>
      <c r="R68" s="23"/>
      <c r="S68" s="23"/>
      <c r="T68" s="23"/>
    </row>
    <row r="69">
      <c r="A69" s="23"/>
      <c r="B69" s="23"/>
      <c r="C69" s="23"/>
      <c r="D69" s="23"/>
      <c r="E69" s="23"/>
      <c r="F69" s="23"/>
      <c r="G69" s="23"/>
      <c r="H69" s="23"/>
      <c r="I69" s="23"/>
      <c r="J69" s="23"/>
      <c r="K69" s="23"/>
      <c r="L69" s="23"/>
      <c r="M69" s="23"/>
      <c r="N69" s="23"/>
      <c r="O69" s="23"/>
      <c r="P69" s="23"/>
      <c r="Q69" s="23"/>
      <c r="R69" s="23"/>
      <c r="S69" s="23"/>
      <c r="T69" s="23"/>
    </row>
    <row r="70">
      <c r="A70" s="23"/>
      <c r="B70" s="23"/>
      <c r="C70" s="23"/>
      <c r="D70" s="23"/>
      <c r="E70" s="23"/>
      <c r="F70" s="23"/>
      <c r="G70" s="23"/>
      <c r="H70" s="23"/>
      <c r="I70" s="23"/>
      <c r="J70" s="23"/>
      <c r="K70" s="23"/>
      <c r="L70" s="23"/>
      <c r="M70" s="23"/>
      <c r="N70" s="23"/>
      <c r="O70" s="23"/>
      <c r="P70" s="23"/>
      <c r="Q70" s="23"/>
      <c r="R70" s="23"/>
      <c r="S70" s="23"/>
      <c r="T70" s="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9" t="s">
        <v>3153</v>
      </c>
      <c r="B1" s="140" t="s">
        <v>3222</v>
      </c>
      <c r="C1" s="140" t="s">
        <v>2</v>
      </c>
      <c r="D1" s="140" t="s">
        <v>4</v>
      </c>
      <c r="E1" s="140" t="s">
        <v>999</v>
      </c>
      <c r="F1" s="140" t="s">
        <v>3223</v>
      </c>
      <c r="G1" s="140" t="s">
        <v>3224</v>
      </c>
      <c r="H1" s="140" t="s">
        <v>3225</v>
      </c>
      <c r="I1" s="140" t="s">
        <v>3226</v>
      </c>
      <c r="J1" s="140" t="s">
        <v>7</v>
      </c>
      <c r="K1" s="140" t="s">
        <v>3227</v>
      </c>
      <c r="L1" s="140" t="s">
        <v>3228</v>
      </c>
      <c r="M1" s="140" t="s">
        <v>3229</v>
      </c>
      <c r="N1" s="140" t="s">
        <v>3230</v>
      </c>
      <c r="O1" s="140" t="s">
        <v>3231</v>
      </c>
      <c r="P1" s="23"/>
      <c r="Q1" s="23"/>
      <c r="R1" s="23"/>
      <c r="S1" s="23"/>
      <c r="T1" s="23"/>
      <c r="U1" s="23"/>
      <c r="V1" s="23"/>
      <c r="W1" s="23"/>
      <c r="X1" s="23"/>
      <c r="Y1" s="23"/>
      <c r="Z1" s="23"/>
    </row>
    <row r="2">
      <c r="A2" s="23" t="s">
        <v>3232</v>
      </c>
      <c r="B2" s="111" t="s">
        <v>3233</v>
      </c>
      <c r="C2" s="111" t="s">
        <v>1864</v>
      </c>
      <c r="D2" s="111" t="s">
        <v>3234</v>
      </c>
      <c r="E2" s="111" t="s">
        <v>3235</v>
      </c>
      <c r="F2" s="111" t="s">
        <v>3236</v>
      </c>
      <c r="G2" s="111" t="s">
        <v>3237</v>
      </c>
      <c r="H2" s="141" t="s">
        <v>3238</v>
      </c>
      <c r="I2" s="111" t="s">
        <v>3239</v>
      </c>
      <c r="J2" s="113" t="s">
        <v>3240</v>
      </c>
      <c r="K2" s="111" t="s">
        <v>3241</v>
      </c>
      <c r="L2" s="111" t="s">
        <v>3242</v>
      </c>
      <c r="M2" s="111" t="s">
        <v>3243</v>
      </c>
      <c r="N2" s="23"/>
      <c r="O2" s="23"/>
      <c r="P2" s="23"/>
      <c r="Q2" s="23"/>
      <c r="R2" s="23"/>
      <c r="S2" s="23"/>
      <c r="T2" s="23"/>
      <c r="U2" s="23"/>
      <c r="V2" s="23"/>
      <c r="W2" s="23"/>
      <c r="X2" s="23"/>
      <c r="Y2" s="23"/>
      <c r="Z2" s="23"/>
    </row>
    <row r="3">
      <c r="A3" s="137">
        <v>45920.0</v>
      </c>
      <c r="B3" s="23"/>
      <c r="C3" s="111" t="s">
        <v>560</v>
      </c>
      <c r="D3" s="111" t="s">
        <v>600</v>
      </c>
      <c r="E3" s="111" t="s">
        <v>2047</v>
      </c>
      <c r="F3" s="111" t="s">
        <v>3244</v>
      </c>
      <c r="G3" s="23"/>
      <c r="H3" s="142"/>
      <c r="I3" s="23"/>
      <c r="J3" s="23"/>
      <c r="K3" s="111" t="s">
        <v>3245</v>
      </c>
      <c r="L3" s="23"/>
      <c r="M3" s="111" t="s">
        <v>3246</v>
      </c>
      <c r="N3" s="111" t="s">
        <v>3247</v>
      </c>
      <c r="O3" s="23"/>
      <c r="P3" s="23"/>
      <c r="Q3" s="23"/>
      <c r="R3" s="23"/>
      <c r="S3" s="23"/>
      <c r="T3" s="23"/>
      <c r="U3" s="23"/>
      <c r="V3" s="23"/>
      <c r="W3" s="23"/>
      <c r="X3" s="23"/>
      <c r="Y3" s="23"/>
      <c r="Z3" s="23"/>
    </row>
    <row r="4">
      <c r="A4" s="23" t="s">
        <v>3248</v>
      </c>
      <c r="B4" s="111" t="s">
        <v>3249</v>
      </c>
      <c r="C4" s="111" t="s">
        <v>1537</v>
      </c>
      <c r="D4" s="111" t="s">
        <v>1539</v>
      </c>
      <c r="E4" s="111" t="s">
        <v>3250</v>
      </c>
      <c r="F4" s="111" t="s">
        <v>3251</v>
      </c>
      <c r="G4" s="111" t="s">
        <v>3252</v>
      </c>
      <c r="H4" s="141" t="s">
        <v>3253</v>
      </c>
      <c r="I4" s="111" t="s">
        <v>3254</v>
      </c>
      <c r="J4" s="113" t="s">
        <v>3255</v>
      </c>
      <c r="K4" s="111" t="s">
        <v>3256</v>
      </c>
      <c r="L4" s="111" t="s">
        <v>3257</v>
      </c>
      <c r="M4" s="111" t="s">
        <v>3258</v>
      </c>
      <c r="N4" s="23"/>
      <c r="O4" s="23"/>
      <c r="P4" s="23"/>
      <c r="Q4" s="23"/>
      <c r="R4" s="23"/>
      <c r="S4" s="23"/>
      <c r="T4" s="23"/>
      <c r="U4" s="23"/>
      <c r="V4" s="23"/>
      <c r="W4" s="23"/>
      <c r="X4" s="23"/>
      <c r="Y4" s="23"/>
      <c r="Z4" s="23"/>
    </row>
    <row r="5">
      <c r="A5" s="23" t="s">
        <v>3259</v>
      </c>
      <c r="B5" s="111" t="s">
        <v>3260</v>
      </c>
      <c r="C5" s="111" t="s">
        <v>1892</v>
      </c>
      <c r="D5" s="111" t="s">
        <v>2059</v>
      </c>
      <c r="E5" s="111" t="s">
        <v>3183</v>
      </c>
      <c r="F5" s="111" t="s">
        <v>3261</v>
      </c>
      <c r="G5" s="111" t="s">
        <v>3262</v>
      </c>
      <c r="H5" s="141" t="s">
        <v>3263</v>
      </c>
      <c r="I5" s="111" t="s">
        <v>3264</v>
      </c>
      <c r="J5" s="113" t="s">
        <v>3265</v>
      </c>
      <c r="K5" s="111" t="s">
        <v>3266</v>
      </c>
      <c r="L5" s="111" t="s">
        <v>3267</v>
      </c>
      <c r="M5" s="111" t="s">
        <v>3268</v>
      </c>
      <c r="N5" s="111" t="s">
        <v>3247</v>
      </c>
      <c r="O5" s="23"/>
      <c r="P5" s="23"/>
      <c r="Q5" s="23"/>
      <c r="R5" s="23"/>
      <c r="S5" s="23"/>
      <c r="T5" s="23"/>
      <c r="U5" s="23"/>
      <c r="V5" s="23"/>
      <c r="W5" s="23"/>
      <c r="X5" s="23"/>
      <c r="Y5" s="23"/>
      <c r="Z5" s="23"/>
    </row>
    <row r="6">
      <c r="A6" s="23" t="s">
        <v>3259</v>
      </c>
      <c r="B6" s="111" t="s">
        <v>3269</v>
      </c>
      <c r="C6" s="111" t="s">
        <v>1586</v>
      </c>
      <c r="D6" s="111" t="s">
        <v>3270</v>
      </c>
      <c r="E6" s="111" t="s">
        <v>3271</v>
      </c>
      <c r="F6" s="111" t="s">
        <v>3272</v>
      </c>
      <c r="G6" s="111" t="s">
        <v>3269</v>
      </c>
      <c r="H6" s="141" t="s">
        <v>831</v>
      </c>
      <c r="I6" s="111" t="s">
        <v>1370</v>
      </c>
      <c r="J6" s="113" t="s">
        <v>3273</v>
      </c>
      <c r="K6" s="111" t="s">
        <v>3274</v>
      </c>
      <c r="L6" s="111" t="s">
        <v>3275</v>
      </c>
      <c r="M6" s="111" t="s">
        <v>3276</v>
      </c>
      <c r="N6" s="111" t="s">
        <v>3277</v>
      </c>
      <c r="O6" s="111" t="s">
        <v>3278</v>
      </c>
      <c r="P6" s="23"/>
      <c r="Q6" s="23"/>
      <c r="R6" s="23"/>
      <c r="S6" s="23"/>
      <c r="T6" s="23"/>
      <c r="U6" s="23"/>
      <c r="V6" s="23"/>
      <c r="W6" s="23"/>
      <c r="X6" s="23"/>
      <c r="Y6" s="23"/>
      <c r="Z6" s="23"/>
    </row>
    <row r="7">
      <c r="A7" s="143">
        <v>45928.0</v>
      </c>
      <c r="B7" s="111" t="s">
        <v>3279</v>
      </c>
      <c r="C7" s="111" t="s">
        <v>971</v>
      </c>
      <c r="D7" s="111" t="s">
        <v>1096</v>
      </c>
      <c r="E7" s="111" t="s">
        <v>3280</v>
      </c>
      <c r="F7" s="111" t="s">
        <v>3281</v>
      </c>
      <c r="G7" s="111" t="s">
        <v>3282</v>
      </c>
      <c r="H7" s="141" t="s">
        <v>3283</v>
      </c>
      <c r="I7" s="116">
        <v>45905.0</v>
      </c>
      <c r="J7" s="113" t="s">
        <v>3284</v>
      </c>
      <c r="K7" s="111" t="s">
        <v>3285</v>
      </c>
      <c r="L7" s="111" t="s">
        <v>3286</v>
      </c>
      <c r="M7" s="111" t="s">
        <v>3287</v>
      </c>
      <c r="N7" s="111" t="s">
        <v>3277</v>
      </c>
      <c r="O7" s="23"/>
      <c r="P7" s="23"/>
      <c r="Q7" s="23"/>
      <c r="R7" s="23"/>
      <c r="S7" s="23"/>
      <c r="T7" s="23"/>
      <c r="U7" s="23"/>
      <c r="V7" s="23"/>
      <c r="W7" s="23"/>
      <c r="X7" s="23"/>
      <c r="Y7" s="23"/>
      <c r="Z7" s="23"/>
    </row>
    <row r="8">
      <c r="A8" s="143">
        <v>45929.0</v>
      </c>
      <c r="B8" s="111" t="s">
        <v>3288</v>
      </c>
      <c r="C8" s="111" t="s">
        <v>1876</v>
      </c>
      <c r="D8" s="111" t="s">
        <v>3289</v>
      </c>
      <c r="E8" s="111" t="s">
        <v>3290</v>
      </c>
      <c r="F8" s="111" t="s">
        <v>3281</v>
      </c>
      <c r="G8" s="111" t="s">
        <v>3291</v>
      </c>
      <c r="H8" s="141" t="s">
        <v>3292</v>
      </c>
      <c r="I8" s="116">
        <v>45905.0</v>
      </c>
      <c r="J8" s="113" t="s">
        <v>3284</v>
      </c>
      <c r="K8" s="111" t="s">
        <v>3285</v>
      </c>
      <c r="L8" s="111" t="s">
        <v>3286</v>
      </c>
      <c r="M8" s="111" t="s">
        <v>3287</v>
      </c>
      <c r="N8" s="111" t="s">
        <v>3277</v>
      </c>
      <c r="O8" s="23"/>
      <c r="P8" s="23"/>
      <c r="Q8" s="23"/>
      <c r="R8" s="23"/>
      <c r="S8" s="23"/>
      <c r="T8" s="23"/>
      <c r="U8" s="23"/>
      <c r="V8" s="23"/>
      <c r="W8" s="23"/>
      <c r="X8" s="23"/>
      <c r="Y8" s="23"/>
      <c r="Z8" s="23"/>
    </row>
    <row r="9">
      <c r="A9" s="143">
        <v>45930.0</v>
      </c>
      <c r="B9" s="111" t="s">
        <v>3293</v>
      </c>
      <c r="C9" s="111" t="s">
        <v>1876</v>
      </c>
      <c r="D9" s="111" t="s">
        <v>3294</v>
      </c>
      <c r="E9" s="111" t="s">
        <v>3280</v>
      </c>
      <c r="F9" s="111" t="s">
        <v>3281</v>
      </c>
      <c r="G9" s="111" t="s">
        <v>3295</v>
      </c>
      <c r="H9" s="141" t="s">
        <v>3283</v>
      </c>
      <c r="I9" s="116">
        <v>45905.0</v>
      </c>
      <c r="J9" s="113" t="s">
        <v>3284</v>
      </c>
      <c r="K9" s="111" t="s">
        <v>3285</v>
      </c>
      <c r="L9" s="111" t="s">
        <v>3286</v>
      </c>
      <c r="M9" s="111" t="s">
        <v>3287</v>
      </c>
      <c r="N9" s="111" t="s">
        <v>3277</v>
      </c>
      <c r="O9" s="23"/>
      <c r="P9" s="23"/>
      <c r="Q9" s="23"/>
      <c r="R9" s="23"/>
      <c r="S9" s="23"/>
      <c r="T9" s="23"/>
      <c r="U9" s="23"/>
      <c r="V9" s="23"/>
      <c r="W9" s="23"/>
      <c r="X9" s="23"/>
      <c r="Y9" s="23"/>
      <c r="Z9" s="23"/>
    </row>
    <row r="10">
      <c r="A10" s="23" t="s">
        <v>3296</v>
      </c>
      <c r="B10" s="111" t="s">
        <v>3269</v>
      </c>
      <c r="C10" s="111" t="s">
        <v>3297</v>
      </c>
      <c r="D10" s="111" t="s">
        <v>3298</v>
      </c>
      <c r="E10" s="111" t="s">
        <v>3299</v>
      </c>
      <c r="F10" s="111" t="s">
        <v>3300</v>
      </c>
      <c r="G10" s="111" t="s">
        <v>3301</v>
      </c>
      <c r="H10" s="141" t="s">
        <v>3302</v>
      </c>
      <c r="I10" s="111" t="s">
        <v>3264</v>
      </c>
      <c r="J10" s="113" t="s">
        <v>3303</v>
      </c>
      <c r="K10" s="111" t="s">
        <v>3304</v>
      </c>
      <c r="L10" s="111" t="s">
        <v>3305</v>
      </c>
      <c r="M10" s="111" t="s">
        <v>3306</v>
      </c>
      <c r="N10" s="111" t="s">
        <v>3307</v>
      </c>
      <c r="O10" s="23"/>
      <c r="P10" s="23"/>
      <c r="Q10" s="23"/>
      <c r="R10" s="23"/>
      <c r="S10" s="23"/>
      <c r="T10" s="23"/>
      <c r="U10" s="23"/>
      <c r="V10" s="23"/>
      <c r="W10" s="23"/>
      <c r="X10" s="23"/>
      <c r="Y10" s="23"/>
      <c r="Z10" s="23"/>
    </row>
    <row r="11">
      <c r="A11" s="23" t="s">
        <v>3308</v>
      </c>
      <c r="B11" s="111" t="s">
        <v>3269</v>
      </c>
      <c r="C11" s="111" t="s">
        <v>1639</v>
      </c>
      <c r="D11" s="111" t="s">
        <v>3309</v>
      </c>
      <c r="E11" s="111" t="s">
        <v>3310</v>
      </c>
      <c r="F11" s="111" t="s">
        <v>3311</v>
      </c>
      <c r="G11" s="111" t="s">
        <v>3312</v>
      </c>
      <c r="H11" s="141" t="s">
        <v>3313</v>
      </c>
      <c r="I11" s="111" t="s">
        <v>3314</v>
      </c>
      <c r="J11" s="113" t="s">
        <v>3315</v>
      </c>
      <c r="K11" s="111" t="s">
        <v>3316</v>
      </c>
      <c r="L11" s="111" t="s">
        <v>3317</v>
      </c>
      <c r="M11" s="111" t="s">
        <v>3318</v>
      </c>
      <c r="N11" s="111" t="s">
        <v>3307</v>
      </c>
      <c r="O11" s="23"/>
      <c r="P11" s="23"/>
      <c r="Q11" s="23"/>
      <c r="R11" s="23"/>
      <c r="S11" s="23"/>
      <c r="T11" s="23"/>
      <c r="U11" s="23"/>
      <c r="V11" s="23"/>
      <c r="W11" s="23"/>
      <c r="X11" s="23"/>
      <c r="Y11" s="23"/>
      <c r="Z11" s="23"/>
    </row>
    <row r="12">
      <c r="A12" s="137">
        <v>45945.0</v>
      </c>
      <c r="B12" s="111" t="s">
        <v>3319</v>
      </c>
      <c r="C12" s="111" t="s">
        <v>1463</v>
      </c>
      <c r="D12" s="111" t="s">
        <v>3181</v>
      </c>
      <c r="E12" s="111" t="s">
        <v>3178</v>
      </c>
      <c r="F12" s="111" t="s">
        <v>3320</v>
      </c>
      <c r="G12" s="111" t="s">
        <v>3180</v>
      </c>
      <c r="H12" s="142"/>
      <c r="I12" s="23"/>
      <c r="J12" s="23"/>
      <c r="K12" s="111" t="s">
        <v>3182</v>
      </c>
      <c r="L12" s="23"/>
      <c r="M12" s="23"/>
      <c r="N12" s="111" t="s">
        <v>3247</v>
      </c>
      <c r="O12" s="23" t="s">
        <v>3321</v>
      </c>
      <c r="P12" s="23"/>
      <c r="Q12" s="23"/>
      <c r="R12" s="23"/>
      <c r="S12" s="23"/>
      <c r="T12" s="23"/>
      <c r="U12" s="23"/>
      <c r="V12" s="23"/>
      <c r="W12" s="23"/>
      <c r="X12" s="23"/>
      <c r="Y12" s="23"/>
      <c r="Z12" s="23"/>
    </row>
    <row r="13">
      <c r="A13" s="143">
        <v>45946.0</v>
      </c>
      <c r="B13" s="111" t="s">
        <v>3269</v>
      </c>
      <c r="C13" s="111" t="s">
        <v>54</v>
      </c>
      <c r="D13" s="111" t="s">
        <v>56</v>
      </c>
      <c r="E13" s="111" t="s">
        <v>3280</v>
      </c>
      <c r="F13" s="111" t="s">
        <v>3281</v>
      </c>
      <c r="G13" s="111" t="s">
        <v>3269</v>
      </c>
      <c r="H13" s="141" t="s">
        <v>3322</v>
      </c>
      <c r="I13" s="116">
        <v>45905.0</v>
      </c>
      <c r="J13" s="113" t="s">
        <v>3284</v>
      </c>
      <c r="K13" s="111" t="s">
        <v>3323</v>
      </c>
      <c r="L13" s="111" t="s">
        <v>3324</v>
      </c>
      <c r="M13" s="111" t="s">
        <v>3287</v>
      </c>
      <c r="N13" s="111" t="s">
        <v>3277</v>
      </c>
      <c r="O13" s="111" t="s">
        <v>3325</v>
      </c>
      <c r="P13" s="23"/>
      <c r="Q13" s="23"/>
      <c r="R13" s="23"/>
      <c r="S13" s="23"/>
      <c r="T13" s="23"/>
      <c r="U13" s="23"/>
      <c r="V13" s="23"/>
      <c r="W13" s="23"/>
      <c r="X13" s="23"/>
      <c r="Y13" s="23"/>
      <c r="Z13" s="23"/>
    </row>
    <row r="14">
      <c r="A14" s="23" t="s">
        <v>3326</v>
      </c>
      <c r="B14" s="111" t="s">
        <v>3269</v>
      </c>
      <c r="C14" s="111" t="s">
        <v>1823</v>
      </c>
      <c r="D14" s="111" t="s">
        <v>3327</v>
      </c>
      <c r="E14" s="111" t="s">
        <v>3328</v>
      </c>
      <c r="F14" s="111" t="s">
        <v>3329</v>
      </c>
      <c r="G14" s="111" t="s">
        <v>3269</v>
      </c>
      <c r="H14" s="141" t="s">
        <v>3330</v>
      </c>
      <c r="I14" s="111" t="s">
        <v>3314</v>
      </c>
      <c r="J14" s="113" t="s">
        <v>3331</v>
      </c>
      <c r="K14" s="111" t="s">
        <v>3332</v>
      </c>
      <c r="L14" s="111" t="s">
        <v>3333</v>
      </c>
      <c r="M14" s="111" t="s">
        <v>3334</v>
      </c>
      <c r="N14" s="111" t="s">
        <v>3335</v>
      </c>
      <c r="O14" s="23"/>
      <c r="P14" s="23"/>
      <c r="Q14" s="23"/>
      <c r="R14" s="23"/>
      <c r="S14" s="23"/>
      <c r="T14" s="23"/>
      <c r="U14" s="23"/>
      <c r="V14" s="23"/>
      <c r="W14" s="23"/>
      <c r="X14" s="23"/>
      <c r="Y14" s="23"/>
      <c r="Z14" s="23"/>
    </row>
    <row r="15">
      <c r="A15" s="23" t="s">
        <v>3336</v>
      </c>
      <c r="B15" s="111" t="s">
        <v>3337</v>
      </c>
      <c r="C15" s="111" t="s">
        <v>1600</v>
      </c>
      <c r="D15" s="111" t="s">
        <v>3338</v>
      </c>
      <c r="E15" s="111" t="s">
        <v>3339</v>
      </c>
      <c r="F15" s="111" t="s">
        <v>3340</v>
      </c>
      <c r="G15" s="111" t="s">
        <v>3341</v>
      </c>
      <c r="H15" s="141" t="s">
        <v>3342</v>
      </c>
      <c r="I15" s="111" t="s">
        <v>3314</v>
      </c>
      <c r="J15" s="113" t="s">
        <v>3343</v>
      </c>
      <c r="K15" s="111" t="s">
        <v>3344</v>
      </c>
      <c r="L15" s="111" t="s">
        <v>3345</v>
      </c>
      <c r="M15" s="111" t="s">
        <v>3346</v>
      </c>
      <c r="N15" s="111" t="s">
        <v>3277</v>
      </c>
      <c r="O15" s="23"/>
      <c r="P15" s="23"/>
      <c r="Q15" s="23"/>
      <c r="R15" s="23"/>
      <c r="S15" s="23"/>
      <c r="T15" s="23"/>
      <c r="U15" s="23"/>
      <c r="V15" s="23"/>
      <c r="W15" s="23"/>
      <c r="X15" s="23"/>
      <c r="Y15" s="23"/>
      <c r="Z15" s="23"/>
    </row>
    <row r="16">
      <c r="A16" s="23" t="s">
        <v>3347</v>
      </c>
      <c r="B16" s="111" t="s">
        <v>3269</v>
      </c>
      <c r="C16" s="111" t="s">
        <v>1876</v>
      </c>
      <c r="D16" s="111" t="s">
        <v>3348</v>
      </c>
      <c r="E16" s="111" t="s">
        <v>3349</v>
      </c>
      <c r="F16" s="111" t="s">
        <v>3350</v>
      </c>
      <c r="G16" s="111" t="s">
        <v>3350</v>
      </c>
      <c r="H16" s="141" t="s">
        <v>3351</v>
      </c>
      <c r="I16" s="111" t="s">
        <v>3352</v>
      </c>
      <c r="J16" s="113" t="s">
        <v>3353</v>
      </c>
      <c r="K16" s="111" t="s">
        <v>3354</v>
      </c>
      <c r="L16" s="111" t="s">
        <v>3355</v>
      </c>
      <c r="M16" s="111" t="s">
        <v>3356</v>
      </c>
      <c r="N16" s="23"/>
      <c r="O16" s="23"/>
      <c r="P16" s="23"/>
      <c r="Q16" s="23"/>
      <c r="R16" s="23"/>
      <c r="S16" s="23"/>
      <c r="T16" s="23"/>
      <c r="U16" s="23"/>
      <c r="V16" s="23"/>
      <c r="W16" s="23"/>
      <c r="X16" s="23"/>
      <c r="Y16" s="23"/>
      <c r="Z16" s="23"/>
    </row>
    <row r="17">
      <c r="A17" s="23" t="s">
        <v>3357</v>
      </c>
      <c r="B17" s="111" t="s">
        <v>3269</v>
      </c>
      <c r="C17" s="111" t="s">
        <v>1639</v>
      </c>
      <c r="D17" s="111" t="s">
        <v>3358</v>
      </c>
      <c r="E17" s="111" t="s">
        <v>3359</v>
      </c>
      <c r="F17" s="111" t="s">
        <v>3311</v>
      </c>
      <c r="G17" s="111" t="s">
        <v>3360</v>
      </c>
      <c r="H17" s="141" t="s">
        <v>3313</v>
      </c>
      <c r="I17" s="111" t="s">
        <v>3352</v>
      </c>
      <c r="J17" s="113" t="s">
        <v>3361</v>
      </c>
      <c r="K17" s="111" t="s">
        <v>3316</v>
      </c>
      <c r="L17" s="111" t="s">
        <v>3362</v>
      </c>
      <c r="M17" s="111" t="s">
        <v>3363</v>
      </c>
      <c r="N17" s="111" t="s">
        <v>3307</v>
      </c>
      <c r="O17" s="23"/>
      <c r="P17" s="23"/>
      <c r="Q17" s="23"/>
      <c r="R17" s="23"/>
      <c r="S17" s="23"/>
      <c r="T17" s="23"/>
      <c r="U17" s="23"/>
      <c r="V17" s="23"/>
      <c r="W17" s="23"/>
      <c r="X17" s="23"/>
      <c r="Y17" s="23"/>
      <c r="Z17" s="23"/>
    </row>
    <row r="18">
      <c r="A18" s="143">
        <v>45969.0</v>
      </c>
      <c r="B18" s="111" t="s">
        <v>3269</v>
      </c>
      <c r="C18" s="111" t="s">
        <v>1463</v>
      </c>
      <c r="D18" s="111" t="s">
        <v>3364</v>
      </c>
      <c r="E18" s="111" t="s">
        <v>3365</v>
      </c>
      <c r="F18" s="111" t="s">
        <v>3366</v>
      </c>
      <c r="G18" s="111" t="s">
        <v>3269</v>
      </c>
      <c r="H18" s="141" t="s">
        <v>3367</v>
      </c>
      <c r="I18" s="111" t="s">
        <v>3352</v>
      </c>
      <c r="J18" s="113" t="s">
        <v>3368</v>
      </c>
      <c r="K18" s="111" t="s">
        <v>3369</v>
      </c>
      <c r="L18" s="111" t="s">
        <v>3370</v>
      </c>
      <c r="M18" s="111" t="s">
        <v>3371</v>
      </c>
      <c r="N18" s="111" t="s">
        <v>3307</v>
      </c>
      <c r="O18" s="23"/>
      <c r="P18" s="23"/>
      <c r="Q18" s="23"/>
      <c r="R18" s="23"/>
      <c r="S18" s="23"/>
      <c r="T18" s="23"/>
      <c r="U18" s="23"/>
      <c r="V18" s="23"/>
      <c r="W18" s="23"/>
      <c r="X18" s="23"/>
      <c r="Y18" s="23"/>
      <c r="Z18" s="23"/>
    </row>
    <row r="19">
      <c r="A19" s="143">
        <v>45972.0</v>
      </c>
      <c r="B19" s="111" t="s">
        <v>3269</v>
      </c>
      <c r="C19" s="111" t="s">
        <v>1848</v>
      </c>
      <c r="D19" s="111" t="s">
        <v>1850</v>
      </c>
      <c r="E19" s="111" t="s">
        <v>3372</v>
      </c>
      <c r="F19" s="111" t="s">
        <v>3281</v>
      </c>
      <c r="G19" s="111" t="s">
        <v>3269</v>
      </c>
      <c r="H19" s="141" t="s">
        <v>3373</v>
      </c>
      <c r="I19" s="111" t="s">
        <v>3352</v>
      </c>
      <c r="J19" s="113" t="s">
        <v>3284</v>
      </c>
      <c r="K19" s="111" t="s">
        <v>3323</v>
      </c>
      <c r="L19" s="111" t="s">
        <v>3286</v>
      </c>
      <c r="M19" s="111" t="s">
        <v>3287</v>
      </c>
      <c r="N19" s="111" t="s">
        <v>3277</v>
      </c>
      <c r="O19" s="23"/>
      <c r="P19" s="23"/>
      <c r="Q19" s="23"/>
      <c r="R19" s="23"/>
      <c r="S19" s="23"/>
      <c r="T19" s="23"/>
      <c r="U19" s="23"/>
      <c r="V19" s="23"/>
      <c r="W19" s="23"/>
      <c r="X19" s="23"/>
      <c r="Y19" s="23"/>
      <c r="Z19" s="23"/>
    </row>
    <row r="20">
      <c r="A20" s="111" t="s">
        <v>3374</v>
      </c>
      <c r="B20" s="111" t="s">
        <v>3269</v>
      </c>
      <c r="C20" s="111" t="s">
        <v>1639</v>
      </c>
      <c r="D20" s="111" t="s">
        <v>2157</v>
      </c>
      <c r="E20" s="111" t="s">
        <v>2155</v>
      </c>
      <c r="F20" s="23"/>
      <c r="G20" s="111" t="s">
        <v>2155</v>
      </c>
      <c r="H20" s="23"/>
      <c r="I20" s="23"/>
      <c r="J20" s="23"/>
      <c r="K20" s="111" t="s">
        <v>3375</v>
      </c>
      <c r="L20" s="23"/>
      <c r="M20" s="111" t="s">
        <v>3246</v>
      </c>
      <c r="N20" s="111" t="s">
        <v>3376</v>
      </c>
      <c r="O20" s="23"/>
      <c r="P20" s="23"/>
      <c r="Q20" s="23"/>
      <c r="R20" s="23"/>
      <c r="S20" s="23"/>
      <c r="T20" s="23"/>
      <c r="U20" s="23"/>
      <c r="V20" s="23"/>
      <c r="W20" s="23"/>
      <c r="X20" s="23"/>
      <c r="Y20" s="23"/>
      <c r="Z20" s="23"/>
    </row>
    <row r="21">
      <c r="A21" s="23" t="s">
        <v>3377</v>
      </c>
      <c r="B21" s="111" t="s">
        <v>3269</v>
      </c>
      <c r="C21" s="111" t="s">
        <v>278</v>
      </c>
      <c r="D21" s="111" t="s">
        <v>3378</v>
      </c>
      <c r="E21" s="111" t="s">
        <v>3379</v>
      </c>
      <c r="F21" s="111" t="s">
        <v>3380</v>
      </c>
      <c r="G21" s="111" t="s">
        <v>3269</v>
      </c>
      <c r="H21" s="141" t="s">
        <v>3381</v>
      </c>
      <c r="I21" s="111" t="s">
        <v>3264</v>
      </c>
      <c r="J21" s="113" t="s">
        <v>3382</v>
      </c>
      <c r="K21" s="111" t="s">
        <v>3383</v>
      </c>
      <c r="L21" s="111" t="s">
        <v>3384</v>
      </c>
      <c r="M21" s="111" t="s">
        <v>3385</v>
      </c>
      <c r="N21" s="111" t="s">
        <v>3386</v>
      </c>
      <c r="O21" s="23"/>
      <c r="P21" s="23"/>
      <c r="Q21" s="23"/>
      <c r="R21" s="23"/>
      <c r="S21" s="23"/>
      <c r="T21" s="23"/>
      <c r="U21" s="23"/>
      <c r="V21" s="23"/>
      <c r="W21" s="23"/>
      <c r="X21" s="23"/>
      <c r="Y21" s="23"/>
      <c r="Z21" s="23"/>
    </row>
    <row r="22">
      <c r="A22" s="23" t="s">
        <v>3387</v>
      </c>
      <c r="B22" s="111" t="s">
        <v>3269</v>
      </c>
      <c r="C22" s="111" t="s">
        <v>1876</v>
      </c>
      <c r="D22" s="111" t="s">
        <v>3388</v>
      </c>
      <c r="E22" s="111" t="s">
        <v>3389</v>
      </c>
      <c r="F22" s="111" t="s">
        <v>3390</v>
      </c>
      <c r="G22" s="111" t="s">
        <v>3269</v>
      </c>
      <c r="H22" s="141" t="s">
        <v>3342</v>
      </c>
      <c r="I22" s="111" t="s">
        <v>3352</v>
      </c>
      <c r="J22" s="113" t="s">
        <v>3391</v>
      </c>
      <c r="K22" s="111" t="s">
        <v>3392</v>
      </c>
      <c r="L22" s="111" t="s">
        <v>3393</v>
      </c>
      <c r="M22" s="111" t="s">
        <v>3394</v>
      </c>
      <c r="N22" s="111" t="s">
        <v>3277</v>
      </c>
      <c r="O22" s="23"/>
      <c r="P22" s="23"/>
      <c r="Q22" s="23"/>
      <c r="R22" s="23"/>
      <c r="S22" s="23"/>
      <c r="T22" s="23"/>
      <c r="U22" s="23"/>
      <c r="V22" s="23"/>
      <c r="W22" s="23"/>
      <c r="X22" s="23"/>
      <c r="Y22" s="23"/>
      <c r="Z22" s="23"/>
    </row>
    <row r="23">
      <c r="A23" s="23" t="s">
        <v>3395</v>
      </c>
      <c r="B23" s="111" t="s">
        <v>3269</v>
      </c>
      <c r="C23" s="111" t="s">
        <v>1509</v>
      </c>
      <c r="D23" s="111" t="s">
        <v>1511</v>
      </c>
      <c r="E23" s="111" t="s">
        <v>3396</v>
      </c>
      <c r="F23" s="111" t="s">
        <v>3397</v>
      </c>
      <c r="G23" s="111" t="s">
        <v>3269</v>
      </c>
      <c r="H23" s="141" t="s">
        <v>831</v>
      </c>
      <c r="I23" s="111" t="s">
        <v>1370</v>
      </c>
      <c r="J23" s="113" t="s">
        <v>3398</v>
      </c>
      <c r="K23" s="111" t="s">
        <v>3399</v>
      </c>
      <c r="L23" s="111" t="s">
        <v>3400</v>
      </c>
      <c r="M23" s="111" t="s">
        <v>3401</v>
      </c>
      <c r="N23" s="111" t="s">
        <v>3277</v>
      </c>
      <c r="O23" s="23"/>
      <c r="P23" s="23"/>
      <c r="Q23" s="23"/>
      <c r="R23" s="23"/>
      <c r="S23" s="23"/>
      <c r="T23" s="23"/>
      <c r="U23" s="23"/>
      <c r="V23" s="23"/>
      <c r="W23" s="23"/>
      <c r="X23" s="23"/>
      <c r="Y23" s="23"/>
      <c r="Z23" s="23"/>
    </row>
    <row r="24">
      <c r="A24" s="23" t="s">
        <v>3402</v>
      </c>
      <c r="B24" s="111" t="s">
        <v>3269</v>
      </c>
      <c r="C24" s="111" t="s">
        <v>278</v>
      </c>
      <c r="D24" s="111" t="s">
        <v>3403</v>
      </c>
      <c r="E24" s="111" t="s">
        <v>3379</v>
      </c>
      <c r="F24" s="111" t="s">
        <v>3380</v>
      </c>
      <c r="G24" s="111" t="s">
        <v>3269</v>
      </c>
      <c r="H24" s="141" t="s">
        <v>3381</v>
      </c>
      <c r="I24" s="111" t="s">
        <v>3264</v>
      </c>
      <c r="J24" s="113" t="s">
        <v>3382</v>
      </c>
      <c r="K24" s="111" t="s">
        <v>3383</v>
      </c>
      <c r="L24" s="111" t="s">
        <v>3384</v>
      </c>
      <c r="M24" s="111" t="s">
        <v>3385</v>
      </c>
      <c r="N24" s="111" t="s">
        <v>3386</v>
      </c>
      <c r="O24" s="23"/>
      <c r="P24" s="23"/>
      <c r="Q24" s="23"/>
      <c r="R24" s="23"/>
      <c r="S24" s="23"/>
      <c r="T24" s="23"/>
      <c r="U24" s="23"/>
      <c r="V24" s="23"/>
      <c r="W24" s="23"/>
      <c r="X24" s="23"/>
      <c r="Y24" s="23"/>
      <c r="Z24" s="23"/>
    </row>
    <row r="25">
      <c r="A25" s="143">
        <v>45985.0</v>
      </c>
      <c r="B25" s="111" t="s">
        <v>3269</v>
      </c>
      <c r="C25" s="111" t="s">
        <v>1823</v>
      </c>
      <c r="D25" s="111" t="s">
        <v>3404</v>
      </c>
      <c r="E25" s="111" t="s">
        <v>3405</v>
      </c>
      <c r="F25" s="111" t="s">
        <v>3406</v>
      </c>
      <c r="G25" s="111" t="s">
        <v>3269</v>
      </c>
      <c r="H25" s="141" t="s">
        <v>3407</v>
      </c>
      <c r="I25" s="111" t="s">
        <v>3264</v>
      </c>
      <c r="J25" s="113" t="s">
        <v>3408</v>
      </c>
      <c r="K25" s="111" t="s">
        <v>3409</v>
      </c>
      <c r="L25" s="111" t="s">
        <v>3410</v>
      </c>
      <c r="M25" s="111" t="s">
        <v>3411</v>
      </c>
      <c r="N25" s="111" t="s">
        <v>3307</v>
      </c>
      <c r="O25" s="23"/>
      <c r="P25" s="23"/>
      <c r="Q25" s="23"/>
      <c r="R25" s="23"/>
      <c r="S25" s="23"/>
      <c r="T25" s="23"/>
      <c r="U25" s="23"/>
      <c r="V25" s="23"/>
      <c r="W25" s="23"/>
      <c r="X25" s="23"/>
      <c r="Y25" s="23"/>
      <c r="Z25" s="23"/>
    </row>
    <row r="26">
      <c r="A26" s="23" t="s">
        <v>3412</v>
      </c>
      <c r="B26" s="111" t="s">
        <v>3269</v>
      </c>
      <c r="C26" s="111" t="s">
        <v>823</v>
      </c>
      <c r="D26" s="111" t="s">
        <v>825</v>
      </c>
      <c r="E26" s="111" t="s">
        <v>3413</v>
      </c>
      <c r="F26" s="111" t="s">
        <v>3414</v>
      </c>
      <c r="G26" s="111" t="s">
        <v>3269</v>
      </c>
      <c r="H26" s="141" t="s">
        <v>3415</v>
      </c>
      <c r="I26" s="111" t="s">
        <v>3416</v>
      </c>
      <c r="J26" s="113" t="s">
        <v>3417</v>
      </c>
      <c r="K26" s="111" t="s">
        <v>3418</v>
      </c>
      <c r="L26" s="111" t="s">
        <v>3419</v>
      </c>
      <c r="M26" s="111" t="s">
        <v>3420</v>
      </c>
      <c r="N26" s="111" t="s">
        <v>3307</v>
      </c>
      <c r="O26" s="23"/>
      <c r="P26" s="23"/>
      <c r="Q26" s="23"/>
      <c r="R26" s="23"/>
      <c r="S26" s="23"/>
      <c r="T26" s="23"/>
      <c r="U26" s="23"/>
      <c r="V26" s="23"/>
      <c r="W26" s="23"/>
      <c r="X26" s="23"/>
      <c r="Y26" s="23"/>
      <c r="Z26" s="23"/>
    </row>
    <row r="27">
      <c r="A27" s="23" t="s">
        <v>3421</v>
      </c>
      <c r="B27" s="111" t="s">
        <v>3269</v>
      </c>
      <c r="C27" s="111" t="s">
        <v>278</v>
      </c>
      <c r="D27" s="111" t="s">
        <v>296</v>
      </c>
      <c r="E27" s="111" t="s">
        <v>3422</v>
      </c>
      <c r="F27" s="111" t="s">
        <v>3380</v>
      </c>
      <c r="G27" s="111" t="s">
        <v>3269</v>
      </c>
      <c r="H27" s="141" t="s">
        <v>3381</v>
      </c>
      <c r="I27" s="111" t="s">
        <v>3264</v>
      </c>
      <c r="J27" s="113" t="s">
        <v>3382</v>
      </c>
      <c r="K27" s="111" t="s">
        <v>3383</v>
      </c>
      <c r="L27" s="111" t="s">
        <v>3423</v>
      </c>
      <c r="M27" s="111" t="s">
        <v>3424</v>
      </c>
      <c r="N27" s="23"/>
      <c r="O27" s="23"/>
      <c r="P27" s="23"/>
      <c r="Q27" s="23"/>
      <c r="R27" s="23"/>
      <c r="S27" s="23"/>
      <c r="T27" s="23"/>
      <c r="U27" s="23"/>
      <c r="V27" s="23"/>
      <c r="W27" s="23"/>
      <c r="X27" s="23"/>
      <c r="Y27" s="23"/>
      <c r="Z27" s="23"/>
    </row>
    <row r="28">
      <c r="A28" s="111" t="s">
        <v>3425</v>
      </c>
      <c r="B28" s="111" t="s">
        <v>3269</v>
      </c>
      <c r="C28" s="111" t="s">
        <v>1657</v>
      </c>
      <c r="D28" s="111" t="s">
        <v>3298</v>
      </c>
      <c r="E28" s="111" t="s">
        <v>3426</v>
      </c>
      <c r="F28" s="111" t="s">
        <v>3427</v>
      </c>
      <c r="G28" s="111" t="s">
        <v>3301</v>
      </c>
      <c r="H28" s="141" t="s">
        <v>3428</v>
      </c>
      <c r="I28" s="111" t="s">
        <v>3264</v>
      </c>
      <c r="J28" s="113" t="s">
        <v>3429</v>
      </c>
      <c r="K28" s="111" t="s">
        <v>3430</v>
      </c>
      <c r="L28" s="111" t="s">
        <v>3431</v>
      </c>
      <c r="M28" s="111" t="s">
        <v>3432</v>
      </c>
      <c r="N28" s="111" t="s">
        <v>3307</v>
      </c>
      <c r="O28" s="23"/>
      <c r="P28" s="23"/>
      <c r="Q28" s="23"/>
      <c r="R28" s="23"/>
      <c r="S28" s="23"/>
      <c r="T28" s="23"/>
      <c r="U28" s="23"/>
      <c r="V28" s="23"/>
      <c r="W28" s="23"/>
      <c r="X28" s="23"/>
      <c r="Y28" s="23"/>
      <c r="Z28" s="23"/>
    </row>
    <row r="29">
      <c r="A29" s="144">
        <v>46051.0</v>
      </c>
      <c r="B29" s="111" t="s">
        <v>3269</v>
      </c>
      <c r="C29" s="111" t="s">
        <v>1864</v>
      </c>
      <c r="D29" s="111" t="s">
        <v>2172</v>
      </c>
      <c r="E29" s="111" t="s">
        <v>3433</v>
      </c>
      <c r="F29" s="111" t="s">
        <v>3434</v>
      </c>
      <c r="G29" s="111" t="s">
        <v>3269</v>
      </c>
      <c r="H29" s="141" t="s">
        <v>831</v>
      </c>
      <c r="I29" s="111" t="s">
        <v>3435</v>
      </c>
      <c r="J29" s="111" t="s">
        <v>3269</v>
      </c>
      <c r="K29" s="111" t="s">
        <v>2198</v>
      </c>
      <c r="L29" s="111" t="s">
        <v>3436</v>
      </c>
      <c r="M29" s="111" t="s">
        <v>3437</v>
      </c>
      <c r="N29" s="111" t="s">
        <v>3438</v>
      </c>
      <c r="O29" s="23"/>
      <c r="P29" s="23"/>
      <c r="Q29" s="23"/>
      <c r="R29" s="23"/>
      <c r="S29" s="23"/>
      <c r="T29" s="23"/>
      <c r="U29" s="23"/>
      <c r="V29" s="23"/>
      <c r="W29" s="23"/>
      <c r="X29" s="23"/>
      <c r="Y29" s="23"/>
      <c r="Z29" s="23"/>
    </row>
    <row r="30">
      <c r="A30" s="111" t="s">
        <v>3439</v>
      </c>
      <c r="B30" s="23"/>
      <c r="C30" s="111" t="s">
        <v>971</v>
      </c>
      <c r="D30" s="111" t="s">
        <v>2184</v>
      </c>
      <c r="E30" s="111" t="s">
        <v>3440</v>
      </c>
      <c r="F30" s="111" t="s">
        <v>3441</v>
      </c>
      <c r="G30" s="111" t="s">
        <v>3441</v>
      </c>
      <c r="H30" s="142"/>
      <c r="I30" s="23"/>
      <c r="J30" s="23"/>
      <c r="K30" s="111" t="s">
        <v>3442</v>
      </c>
      <c r="L30" s="23"/>
      <c r="M30" s="23"/>
      <c r="N30" s="111" t="s">
        <v>3443</v>
      </c>
      <c r="O30" s="23"/>
      <c r="P30" s="23"/>
      <c r="Q30" s="23"/>
      <c r="R30" s="23"/>
      <c r="S30" s="23"/>
      <c r="T30" s="23"/>
      <c r="U30" s="23"/>
      <c r="V30" s="23"/>
      <c r="W30" s="23"/>
      <c r="X30" s="23"/>
      <c r="Y30" s="23"/>
      <c r="Z30" s="23"/>
    </row>
    <row r="31">
      <c r="A31" s="111" t="s">
        <v>3444</v>
      </c>
      <c r="B31" s="111" t="s">
        <v>3269</v>
      </c>
      <c r="C31" s="111" t="s">
        <v>560</v>
      </c>
      <c r="D31" s="111" t="s">
        <v>571</v>
      </c>
      <c r="E31" s="111" t="s">
        <v>3445</v>
      </c>
      <c r="F31" s="111" t="s">
        <v>3446</v>
      </c>
      <c r="G31" s="111" t="s">
        <v>3269</v>
      </c>
      <c r="H31" s="141" t="s">
        <v>3447</v>
      </c>
      <c r="I31" s="111" t="s">
        <v>1370</v>
      </c>
      <c r="J31" s="113" t="s">
        <v>3448</v>
      </c>
      <c r="K31" s="111" t="s">
        <v>3449</v>
      </c>
      <c r="L31" s="111" t="s">
        <v>3450</v>
      </c>
      <c r="M31" s="111" t="s">
        <v>3451</v>
      </c>
      <c r="N31" s="111" t="s">
        <v>3452</v>
      </c>
      <c r="O31" s="23"/>
      <c r="P31" s="23"/>
      <c r="Q31" s="23"/>
      <c r="R31" s="23"/>
      <c r="S31" s="23"/>
      <c r="T31" s="23"/>
      <c r="U31" s="23"/>
      <c r="V31" s="23"/>
      <c r="W31" s="23"/>
      <c r="X31" s="23"/>
      <c r="Y31" s="23"/>
      <c r="Z31" s="23"/>
    </row>
    <row r="32">
      <c r="A32" s="111" t="s">
        <v>3453</v>
      </c>
      <c r="B32" s="111" t="s">
        <v>3269</v>
      </c>
      <c r="C32" s="111" t="s">
        <v>1892</v>
      </c>
      <c r="D32" s="111" t="s">
        <v>3454</v>
      </c>
      <c r="E32" s="111" t="s">
        <v>3455</v>
      </c>
      <c r="F32" s="111" t="s">
        <v>3456</v>
      </c>
      <c r="G32" s="111" t="s">
        <v>3269</v>
      </c>
      <c r="H32" s="141" t="s">
        <v>3342</v>
      </c>
      <c r="I32" s="111" t="s">
        <v>3457</v>
      </c>
      <c r="J32" s="113" t="s">
        <v>3458</v>
      </c>
      <c r="K32" s="111" t="s">
        <v>3459</v>
      </c>
      <c r="L32" s="111" t="s">
        <v>3460</v>
      </c>
      <c r="M32" s="111" t="s">
        <v>3461</v>
      </c>
      <c r="N32" s="23"/>
      <c r="O32" s="23"/>
      <c r="P32" s="23"/>
      <c r="Q32" s="23"/>
      <c r="R32" s="23"/>
      <c r="S32" s="23"/>
      <c r="T32" s="23"/>
      <c r="U32" s="23"/>
      <c r="V32" s="23"/>
      <c r="W32" s="23"/>
      <c r="X32" s="23"/>
      <c r="Y32" s="23"/>
      <c r="Z32" s="23"/>
    </row>
    <row r="33">
      <c r="A33" s="143">
        <v>46087.0</v>
      </c>
      <c r="B33" s="111" t="s">
        <v>3269</v>
      </c>
      <c r="C33" s="111" t="s">
        <v>1892</v>
      </c>
      <c r="D33" s="111" t="s">
        <v>3462</v>
      </c>
      <c r="E33" s="111" t="s">
        <v>3455</v>
      </c>
      <c r="F33" s="111" t="s">
        <v>3456</v>
      </c>
      <c r="G33" s="111" t="s">
        <v>3463</v>
      </c>
      <c r="H33" s="141" t="s">
        <v>3342</v>
      </c>
      <c r="I33" s="111" t="s">
        <v>3457</v>
      </c>
      <c r="J33" s="113" t="s">
        <v>3458</v>
      </c>
      <c r="K33" s="111" t="s">
        <v>3464</v>
      </c>
      <c r="L33" s="111" t="s">
        <v>3465</v>
      </c>
      <c r="M33" s="111" t="s">
        <v>3466</v>
      </c>
      <c r="N33" s="23"/>
      <c r="O33" s="23"/>
      <c r="P33" s="23"/>
      <c r="Q33" s="23"/>
      <c r="R33" s="23"/>
      <c r="S33" s="23"/>
      <c r="T33" s="23"/>
      <c r="U33" s="23"/>
      <c r="V33" s="23"/>
      <c r="W33" s="23"/>
      <c r="X33" s="23"/>
      <c r="Y33" s="23"/>
      <c r="Z33" s="23"/>
    </row>
    <row r="34">
      <c r="A34" s="111" t="s">
        <v>3467</v>
      </c>
      <c r="B34" s="23"/>
      <c r="C34" s="111" t="s">
        <v>1657</v>
      </c>
      <c r="D34" s="111" t="s">
        <v>1674</v>
      </c>
      <c r="E34" s="111" t="s">
        <v>3468</v>
      </c>
      <c r="F34" s="111" t="s">
        <v>3469</v>
      </c>
      <c r="G34" s="111" t="s">
        <v>3470</v>
      </c>
      <c r="H34" s="142"/>
      <c r="I34" s="23"/>
      <c r="J34" s="113" t="s">
        <v>3471</v>
      </c>
      <c r="K34" s="111" t="s">
        <v>3472</v>
      </c>
      <c r="L34" s="23"/>
      <c r="M34" s="111" t="s">
        <v>3246</v>
      </c>
      <c r="N34" s="23"/>
      <c r="O34" s="23"/>
      <c r="P34" s="23"/>
      <c r="Q34" s="23"/>
      <c r="R34" s="23"/>
      <c r="S34" s="23"/>
      <c r="T34" s="23"/>
      <c r="U34" s="23"/>
      <c r="V34" s="23"/>
      <c r="W34" s="23"/>
      <c r="X34" s="23"/>
      <c r="Y34" s="23"/>
      <c r="Z34" s="23"/>
    </row>
    <row r="35">
      <c r="A35" s="111" t="s">
        <v>3473</v>
      </c>
      <c r="B35" s="23"/>
      <c r="C35" s="111" t="s">
        <v>1864</v>
      </c>
      <c r="D35" s="111" t="s">
        <v>1866</v>
      </c>
      <c r="E35" s="111" t="s">
        <v>3474</v>
      </c>
      <c r="F35" s="111" t="s">
        <v>3469</v>
      </c>
      <c r="G35" s="111" t="s">
        <v>3475</v>
      </c>
      <c r="H35" s="142"/>
      <c r="I35" s="23"/>
      <c r="J35" s="113" t="s">
        <v>3471</v>
      </c>
      <c r="K35" s="111" t="s">
        <v>3476</v>
      </c>
      <c r="L35" s="23"/>
      <c r="M35" s="111" t="s">
        <v>3246</v>
      </c>
      <c r="N35" s="23"/>
      <c r="O35" s="23"/>
      <c r="P35" s="23"/>
      <c r="Q35" s="23"/>
      <c r="R35" s="23"/>
      <c r="S35" s="23"/>
      <c r="T35" s="23"/>
      <c r="U35" s="23"/>
      <c r="V35" s="23"/>
      <c r="W35" s="23"/>
      <c r="X35" s="23"/>
      <c r="Y35" s="23"/>
      <c r="Z35" s="23"/>
    </row>
    <row r="36">
      <c r="A36" s="111" t="s">
        <v>3477</v>
      </c>
      <c r="B36" s="23"/>
      <c r="C36" s="111" t="s">
        <v>560</v>
      </c>
      <c r="D36" s="111" t="s">
        <v>600</v>
      </c>
      <c r="E36" s="111" t="s">
        <v>3478</v>
      </c>
      <c r="F36" s="111" t="s">
        <v>3469</v>
      </c>
      <c r="G36" s="111" t="s">
        <v>630</v>
      </c>
      <c r="H36" s="142"/>
      <c r="I36" s="23"/>
      <c r="J36" s="113" t="s">
        <v>3471</v>
      </c>
      <c r="K36" s="111" t="s">
        <v>3479</v>
      </c>
      <c r="L36" s="23"/>
      <c r="M36" s="111" t="s">
        <v>3246</v>
      </c>
      <c r="N36" s="23"/>
      <c r="O36" s="23"/>
      <c r="P36" s="23"/>
      <c r="Q36" s="23"/>
      <c r="R36" s="23"/>
      <c r="S36" s="23"/>
      <c r="T36" s="23"/>
      <c r="U36" s="23"/>
      <c r="V36" s="23"/>
      <c r="W36" s="23"/>
      <c r="X36" s="23"/>
      <c r="Y36" s="23"/>
      <c r="Z36" s="23"/>
    </row>
    <row r="37">
      <c r="A37" s="23" t="s">
        <v>3480</v>
      </c>
      <c r="B37" s="111" t="s">
        <v>3269</v>
      </c>
      <c r="C37" s="111" t="s">
        <v>1848</v>
      </c>
      <c r="D37" s="111" t="s">
        <v>1850</v>
      </c>
      <c r="E37" s="111" t="s">
        <v>3481</v>
      </c>
      <c r="F37" s="111" t="s">
        <v>3482</v>
      </c>
      <c r="G37" s="111" t="s">
        <v>3483</v>
      </c>
      <c r="H37" s="141" t="s">
        <v>3313</v>
      </c>
      <c r="I37" s="111" t="s">
        <v>3484</v>
      </c>
      <c r="J37" s="113" t="s">
        <v>3485</v>
      </c>
      <c r="K37" s="111" t="s">
        <v>3486</v>
      </c>
      <c r="L37" s="111" t="s">
        <v>3487</v>
      </c>
      <c r="M37" s="111" t="s">
        <v>3488</v>
      </c>
      <c r="N37" s="111" t="s">
        <v>3307</v>
      </c>
      <c r="O37" s="23"/>
      <c r="P37" s="23"/>
      <c r="Q37" s="23"/>
      <c r="R37" s="23"/>
      <c r="S37" s="23"/>
      <c r="T37" s="23"/>
      <c r="U37" s="23"/>
      <c r="V37" s="23"/>
      <c r="W37" s="23"/>
      <c r="X37" s="23"/>
      <c r="Y37" s="23"/>
      <c r="Z37" s="23"/>
    </row>
    <row r="38">
      <c r="A38" s="23" t="s">
        <v>3489</v>
      </c>
      <c r="B38" s="111" t="s">
        <v>3269</v>
      </c>
      <c r="C38" s="111" t="s">
        <v>1892</v>
      </c>
      <c r="D38" s="111" t="s">
        <v>3490</v>
      </c>
      <c r="E38" s="111" t="s">
        <v>3455</v>
      </c>
      <c r="F38" s="111" t="s">
        <v>3456</v>
      </c>
      <c r="G38" s="111" t="s">
        <v>3269</v>
      </c>
      <c r="H38" s="141" t="s">
        <v>3342</v>
      </c>
      <c r="I38" s="111" t="s">
        <v>3457</v>
      </c>
      <c r="J38" s="113" t="s">
        <v>3458</v>
      </c>
      <c r="K38" s="111" t="s">
        <v>3459</v>
      </c>
      <c r="L38" s="111" t="s">
        <v>3465</v>
      </c>
      <c r="M38" s="111" t="s">
        <v>3466</v>
      </c>
      <c r="N38" s="111" t="s">
        <v>3491</v>
      </c>
      <c r="O38" s="23"/>
      <c r="P38" s="23"/>
      <c r="Q38" s="23"/>
      <c r="R38" s="23"/>
      <c r="S38" s="23"/>
      <c r="T38" s="23"/>
      <c r="U38" s="23"/>
      <c r="V38" s="23"/>
      <c r="W38" s="23"/>
      <c r="X38" s="23"/>
      <c r="Y38" s="23"/>
      <c r="Z38" s="23"/>
    </row>
    <row r="39">
      <c r="A39" s="23" t="s">
        <v>3492</v>
      </c>
      <c r="B39" s="111" t="s">
        <v>3269</v>
      </c>
      <c r="C39" s="111" t="s">
        <v>1848</v>
      </c>
      <c r="D39" s="111" t="s">
        <v>2264</v>
      </c>
      <c r="E39" s="111" t="s">
        <v>3493</v>
      </c>
      <c r="F39" s="111" t="s">
        <v>3494</v>
      </c>
      <c r="G39" s="111" t="s">
        <v>3269</v>
      </c>
      <c r="H39" s="141" t="s">
        <v>3407</v>
      </c>
      <c r="I39" s="111" t="s">
        <v>3495</v>
      </c>
      <c r="J39" s="113" t="s">
        <v>3496</v>
      </c>
      <c r="K39" s="111" t="s">
        <v>3316</v>
      </c>
      <c r="L39" s="111" t="s">
        <v>3497</v>
      </c>
      <c r="M39" s="111" t="s">
        <v>3498</v>
      </c>
      <c r="N39" s="111" t="s">
        <v>3307</v>
      </c>
      <c r="O39" s="23"/>
      <c r="P39" s="23"/>
      <c r="Q39" s="23"/>
      <c r="R39" s="23"/>
      <c r="S39" s="23"/>
      <c r="T39" s="23"/>
      <c r="U39" s="23"/>
      <c r="V39" s="23"/>
      <c r="W39" s="23"/>
      <c r="X39" s="23"/>
      <c r="Y39" s="23"/>
      <c r="Z39" s="23"/>
    </row>
    <row r="40">
      <c r="A40" s="143">
        <v>46100.0</v>
      </c>
      <c r="B40" s="111" t="s">
        <v>3269</v>
      </c>
      <c r="C40" s="111" t="s">
        <v>1892</v>
      </c>
      <c r="D40" s="111" t="s">
        <v>3499</v>
      </c>
      <c r="E40" s="111" t="s">
        <v>3455</v>
      </c>
      <c r="F40" s="111" t="s">
        <v>3456</v>
      </c>
      <c r="G40" s="111" t="s">
        <v>3500</v>
      </c>
      <c r="H40" s="141" t="s">
        <v>3342</v>
      </c>
      <c r="I40" s="111" t="s">
        <v>3457</v>
      </c>
      <c r="J40" s="113" t="s">
        <v>3458</v>
      </c>
      <c r="K40" s="111" t="s">
        <v>3501</v>
      </c>
      <c r="L40" s="111" t="s">
        <v>3465</v>
      </c>
      <c r="M40" s="111" t="s">
        <v>3466</v>
      </c>
      <c r="N40" s="23"/>
      <c r="O40" s="23"/>
      <c r="P40" s="23"/>
      <c r="Q40" s="23"/>
      <c r="R40" s="23"/>
      <c r="S40" s="23"/>
      <c r="T40" s="23"/>
      <c r="U40" s="23"/>
      <c r="V40" s="23"/>
      <c r="W40" s="23"/>
      <c r="X40" s="23"/>
      <c r="Y40" s="23"/>
      <c r="Z40" s="23"/>
    </row>
    <row r="41">
      <c r="A41" s="23" t="s">
        <v>3502</v>
      </c>
      <c r="B41" s="111" t="s">
        <v>3269</v>
      </c>
      <c r="C41" s="111" t="s">
        <v>278</v>
      </c>
      <c r="D41" s="111" t="s">
        <v>3378</v>
      </c>
      <c r="E41" s="111" t="s">
        <v>3503</v>
      </c>
      <c r="F41" s="111" t="s">
        <v>3380</v>
      </c>
      <c r="G41" s="111" t="s">
        <v>3269</v>
      </c>
      <c r="H41" s="141" t="s">
        <v>3381</v>
      </c>
      <c r="I41" s="111" t="s">
        <v>3264</v>
      </c>
      <c r="J41" s="113" t="s">
        <v>3382</v>
      </c>
      <c r="K41" s="111" t="s">
        <v>3383</v>
      </c>
      <c r="L41" s="111" t="s">
        <v>3504</v>
      </c>
      <c r="M41" s="111" t="s">
        <v>3505</v>
      </c>
      <c r="N41" s="23"/>
      <c r="O41" s="23"/>
      <c r="P41" s="23"/>
      <c r="Q41" s="23"/>
      <c r="R41" s="23"/>
      <c r="S41" s="23"/>
      <c r="T41" s="23"/>
      <c r="U41" s="23"/>
      <c r="V41" s="23"/>
      <c r="W41" s="23"/>
      <c r="X41" s="23"/>
      <c r="Y41" s="23"/>
      <c r="Z41" s="23"/>
    </row>
    <row r="42">
      <c r="A42" s="23" t="s">
        <v>3506</v>
      </c>
      <c r="B42" s="111" t="s">
        <v>3269</v>
      </c>
      <c r="C42" s="111" t="s">
        <v>1892</v>
      </c>
      <c r="D42" s="111" t="s">
        <v>2059</v>
      </c>
      <c r="E42" s="111" t="s">
        <v>3455</v>
      </c>
      <c r="F42" s="111" t="s">
        <v>3456</v>
      </c>
      <c r="G42" s="111" t="s">
        <v>3507</v>
      </c>
      <c r="H42" s="141" t="s">
        <v>3342</v>
      </c>
      <c r="I42" s="111" t="s">
        <v>3457</v>
      </c>
      <c r="J42" s="113" t="s">
        <v>3458</v>
      </c>
      <c r="K42" s="111" t="s">
        <v>3508</v>
      </c>
      <c r="L42" s="111" t="s">
        <v>3509</v>
      </c>
      <c r="M42" s="111" t="s">
        <v>3510</v>
      </c>
      <c r="N42" s="23"/>
      <c r="O42" s="23"/>
      <c r="P42" s="23"/>
      <c r="Q42" s="23"/>
      <c r="R42" s="23"/>
      <c r="S42" s="23"/>
      <c r="T42" s="23"/>
      <c r="U42" s="23"/>
      <c r="V42" s="23"/>
      <c r="W42" s="23"/>
      <c r="X42" s="23"/>
      <c r="Y42" s="23"/>
      <c r="Z42" s="23"/>
    </row>
    <row r="43">
      <c r="A43" s="111" t="s">
        <v>3511</v>
      </c>
      <c r="B43" s="111" t="s">
        <v>3269</v>
      </c>
      <c r="C43" s="111" t="s">
        <v>823</v>
      </c>
      <c r="D43" s="111" t="s">
        <v>825</v>
      </c>
      <c r="E43" s="111" t="s">
        <v>3512</v>
      </c>
      <c r="F43" s="111" t="s">
        <v>3512</v>
      </c>
      <c r="G43" s="23"/>
      <c r="H43" s="142"/>
      <c r="I43" s="23"/>
      <c r="J43" s="23"/>
      <c r="K43" s="111" t="s">
        <v>3513</v>
      </c>
      <c r="L43" s="23"/>
      <c r="M43" s="111" t="s">
        <v>3246</v>
      </c>
      <c r="N43" s="23"/>
      <c r="O43" s="23"/>
      <c r="P43" s="23"/>
      <c r="Q43" s="23"/>
      <c r="R43" s="23"/>
      <c r="S43" s="23"/>
      <c r="T43" s="23"/>
      <c r="U43" s="23"/>
      <c r="V43" s="23"/>
      <c r="W43" s="23"/>
      <c r="X43" s="23"/>
      <c r="Y43" s="23"/>
      <c r="Z43" s="23"/>
    </row>
    <row r="44">
      <c r="A44" s="111" t="s">
        <v>3514</v>
      </c>
      <c r="B44" s="111" t="s">
        <v>3269</v>
      </c>
      <c r="C44" s="111" t="s">
        <v>1864</v>
      </c>
      <c r="D44" s="111" t="s">
        <v>1866</v>
      </c>
      <c r="E44" s="111" t="s">
        <v>3512</v>
      </c>
      <c r="F44" s="111" t="s">
        <v>3512</v>
      </c>
      <c r="G44" s="23"/>
      <c r="H44" s="142"/>
      <c r="I44" s="23"/>
      <c r="J44" s="23"/>
      <c r="K44" s="111" t="s">
        <v>3515</v>
      </c>
      <c r="L44" s="23"/>
      <c r="M44" s="111" t="s">
        <v>3246</v>
      </c>
      <c r="N44" s="23"/>
      <c r="O44" s="23"/>
      <c r="P44" s="23"/>
      <c r="Q44" s="23"/>
      <c r="R44" s="23"/>
      <c r="S44" s="23"/>
      <c r="T44" s="23"/>
      <c r="U44" s="23"/>
      <c r="V44" s="23"/>
      <c r="W44" s="23"/>
      <c r="X44" s="23"/>
      <c r="Y44" s="23"/>
      <c r="Z44" s="23"/>
    </row>
    <row r="45">
      <c r="A45" s="23" t="s">
        <v>3516</v>
      </c>
      <c r="B45" s="111" t="s">
        <v>3269</v>
      </c>
      <c r="C45" s="111" t="s">
        <v>278</v>
      </c>
      <c r="D45" s="111" t="s">
        <v>3517</v>
      </c>
      <c r="E45" s="111" t="s">
        <v>3518</v>
      </c>
      <c r="F45" s="111" t="s">
        <v>3380</v>
      </c>
      <c r="G45" s="111" t="s">
        <v>3269</v>
      </c>
      <c r="H45" s="141" t="s">
        <v>3381</v>
      </c>
      <c r="I45" s="111" t="s">
        <v>3264</v>
      </c>
      <c r="J45" s="113" t="s">
        <v>3382</v>
      </c>
      <c r="K45" s="111" t="s">
        <v>3383</v>
      </c>
      <c r="L45" s="111" t="s">
        <v>3519</v>
      </c>
      <c r="M45" s="111" t="s">
        <v>3505</v>
      </c>
      <c r="N45" s="111" t="s">
        <v>3520</v>
      </c>
      <c r="O45" s="23"/>
      <c r="P45" s="23"/>
      <c r="Q45" s="23"/>
      <c r="R45" s="23"/>
      <c r="S45" s="23"/>
      <c r="T45" s="23"/>
      <c r="U45" s="23"/>
      <c r="V45" s="23"/>
      <c r="W45" s="23"/>
      <c r="X45" s="23"/>
      <c r="Y45" s="23"/>
      <c r="Z45" s="23"/>
    </row>
    <row r="46">
      <c r="A46" s="111" t="s">
        <v>3521</v>
      </c>
      <c r="B46" s="111" t="s">
        <v>3269</v>
      </c>
      <c r="C46" s="111" t="s">
        <v>560</v>
      </c>
      <c r="D46" s="111" t="s">
        <v>600</v>
      </c>
      <c r="E46" s="111" t="s">
        <v>3512</v>
      </c>
      <c r="F46" s="111" t="s">
        <v>3512</v>
      </c>
      <c r="G46" s="23"/>
      <c r="H46" s="142"/>
      <c r="I46" s="23"/>
      <c r="J46" s="23"/>
      <c r="K46" s="111" t="s">
        <v>3522</v>
      </c>
      <c r="L46" s="23"/>
      <c r="M46" s="111" t="s">
        <v>3246</v>
      </c>
      <c r="N46" s="23"/>
      <c r="O46" s="23"/>
      <c r="P46" s="23"/>
      <c r="Q46" s="23"/>
      <c r="R46" s="23"/>
      <c r="S46" s="23"/>
      <c r="T46" s="23"/>
      <c r="U46" s="23"/>
      <c r="V46" s="23"/>
      <c r="W46" s="23"/>
      <c r="X46" s="23"/>
      <c r="Y46" s="23"/>
      <c r="Z46" s="23"/>
    </row>
    <row r="47">
      <c r="A47" s="23" t="s">
        <v>3523</v>
      </c>
      <c r="B47" s="111" t="s">
        <v>3269</v>
      </c>
      <c r="C47" s="111" t="s">
        <v>1572</v>
      </c>
      <c r="D47" s="111" t="s">
        <v>3524</v>
      </c>
      <c r="E47" s="111" t="s">
        <v>3525</v>
      </c>
      <c r="F47" s="111" t="s">
        <v>3526</v>
      </c>
      <c r="G47" s="111" t="s">
        <v>3269</v>
      </c>
      <c r="H47" s="141" t="s">
        <v>3342</v>
      </c>
      <c r="I47" s="111" t="s">
        <v>1370</v>
      </c>
      <c r="J47" s="113" t="s">
        <v>3527</v>
      </c>
      <c r="K47" s="111" t="s">
        <v>3528</v>
      </c>
      <c r="L47" s="111" t="s">
        <v>3529</v>
      </c>
      <c r="M47" s="111" t="s">
        <v>3530</v>
      </c>
      <c r="N47" s="111" t="s">
        <v>3277</v>
      </c>
      <c r="O47" s="23"/>
      <c r="P47" s="23"/>
      <c r="Q47" s="23"/>
      <c r="R47" s="23"/>
      <c r="S47" s="23"/>
      <c r="T47" s="23"/>
      <c r="U47" s="23"/>
      <c r="V47" s="23"/>
      <c r="W47" s="23"/>
      <c r="X47" s="23"/>
      <c r="Y47" s="23"/>
      <c r="Z47" s="23"/>
    </row>
    <row r="48">
      <c r="A48" s="111" t="s">
        <v>3531</v>
      </c>
      <c r="B48" s="111" t="s">
        <v>3269</v>
      </c>
      <c r="C48" s="111" t="s">
        <v>1848</v>
      </c>
      <c r="D48" s="111" t="s">
        <v>2264</v>
      </c>
      <c r="E48" s="111" t="s">
        <v>3532</v>
      </c>
      <c r="F48" s="111" t="s">
        <v>2429</v>
      </c>
      <c r="G48" s="23"/>
      <c r="H48" s="142"/>
      <c r="I48" s="23"/>
      <c r="J48" s="23"/>
      <c r="K48" s="111" t="s">
        <v>3533</v>
      </c>
      <c r="L48" s="23"/>
      <c r="M48" s="111" t="s">
        <v>3246</v>
      </c>
      <c r="N48" s="23"/>
      <c r="O48" s="23"/>
      <c r="P48" s="23"/>
      <c r="Q48" s="23"/>
      <c r="R48" s="23"/>
      <c r="S48" s="23"/>
      <c r="T48" s="23"/>
      <c r="U48" s="23"/>
      <c r="V48" s="23"/>
      <c r="W48" s="23"/>
      <c r="X48" s="23"/>
      <c r="Y48" s="23"/>
      <c r="Z48" s="23"/>
    </row>
    <row r="49">
      <c r="A49" s="116">
        <v>45760.0</v>
      </c>
      <c r="B49" s="111" t="s">
        <v>3534</v>
      </c>
      <c r="C49" s="111" t="s">
        <v>823</v>
      </c>
      <c r="D49" s="111" t="s">
        <v>825</v>
      </c>
      <c r="E49" s="111" t="s">
        <v>3512</v>
      </c>
      <c r="F49" s="111" t="s">
        <v>3535</v>
      </c>
      <c r="G49" s="111" t="s">
        <v>3269</v>
      </c>
      <c r="H49" s="141" t="s">
        <v>3269</v>
      </c>
      <c r="I49" s="111" t="s">
        <v>3269</v>
      </c>
      <c r="J49" s="111" t="s">
        <v>3269</v>
      </c>
      <c r="K49" s="111" t="s">
        <v>3536</v>
      </c>
      <c r="L49" s="111" t="s">
        <v>3537</v>
      </c>
      <c r="M49" s="111" t="s">
        <v>3538</v>
      </c>
      <c r="N49" s="111" t="s">
        <v>3539</v>
      </c>
      <c r="O49" s="111" t="s">
        <v>3540</v>
      </c>
      <c r="P49" s="23"/>
      <c r="Q49" s="23"/>
      <c r="R49" s="23"/>
      <c r="S49" s="23"/>
      <c r="T49" s="23"/>
      <c r="U49" s="23"/>
      <c r="V49" s="23"/>
      <c r="W49" s="23"/>
      <c r="X49" s="23"/>
      <c r="Y49" s="23"/>
      <c r="Z49" s="23"/>
    </row>
    <row r="50">
      <c r="A50" s="145" t="s">
        <v>3541</v>
      </c>
      <c r="B50" s="111" t="s">
        <v>3534</v>
      </c>
      <c r="C50" s="111" t="s">
        <v>1864</v>
      </c>
      <c r="D50" s="111" t="s">
        <v>1866</v>
      </c>
      <c r="E50" s="111" t="s">
        <v>3512</v>
      </c>
      <c r="F50" s="111" t="s">
        <v>3535</v>
      </c>
      <c r="G50" s="111" t="s">
        <v>3269</v>
      </c>
      <c r="H50" s="141" t="s">
        <v>3269</v>
      </c>
      <c r="I50" s="111" t="s">
        <v>3269</v>
      </c>
      <c r="J50" s="111" t="s">
        <v>3269</v>
      </c>
      <c r="K50" s="111" t="s">
        <v>3542</v>
      </c>
      <c r="L50" s="111" t="s">
        <v>3537</v>
      </c>
      <c r="M50" s="111" t="s">
        <v>3543</v>
      </c>
      <c r="N50" s="111" t="s">
        <v>3539</v>
      </c>
      <c r="O50" s="111" t="s">
        <v>3540</v>
      </c>
      <c r="P50" s="23"/>
      <c r="Q50" s="23"/>
      <c r="R50" s="23"/>
      <c r="S50" s="23"/>
      <c r="T50" s="23"/>
      <c r="U50" s="23"/>
      <c r="V50" s="23"/>
      <c r="W50" s="23"/>
      <c r="X50" s="23"/>
      <c r="Y50" s="23"/>
      <c r="Z50" s="23"/>
    </row>
    <row r="51">
      <c r="A51" s="116">
        <v>45762.0</v>
      </c>
      <c r="B51" s="111" t="s">
        <v>3534</v>
      </c>
      <c r="C51" s="111" t="s">
        <v>560</v>
      </c>
      <c r="D51" s="111" t="s">
        <v>600</v>
      </c>
      <c r="E51" s="111" t="s">
        <v>3512</v>
      </c>
      <c r="F51" s="111" t="s">
        <v>3535</v>
      </c>
      <c r="G51" s="111" t="s">
        <v>3269</v>
      </c>
      <c r="H51" s="141" t="s">
        <v>3269</v>
      </c>
      <c r="I51" s="111" t="s">
        <v>3269</v>
      </c>
      <c r="J51" s="111" t="s">
        <v>3269</v>
      </c>
      <c r="K51" s="111" t="s">
        <v>3544</v>
      </c>
      <c r="L51" s="111" t="s">
        <v>3537</v>
      </c>
      <c r="M51" s="111" t="s">
        <v>3545</v>
      </c>
      <c r="N51" s="111" t="s">
        <v>3539</v>
      </c>
      <c r="O51" s="111" t="s">
        <v>3540</v>
      </c>
      <c r="P51" s="23"/>
      <c r="Q51" s="23"/>
      <c r="R51" s="23"/>
      <c r="S51" s="23"/>
      <c r="T51" s="23"/>
      <c r="U51" s="23"/>
      <c r="V51" s="23"/>
      <c r="W51" s="23"/>
      <c r="X51" s="23"/>
      <c r="Y51" s="23"/>
      <c r="Z51" s="23"/>
    </row>
    <row r="52">
      <c r="A52" s="143">
        <v>46127.0</v>
      </c>
      <c r="B52" s="111" t="s">
        <v>3269</v>
      </c>
      <c r="C52" s="111" t="s">
        <v>1892</v>
      </c>
      <c r="D52" s="111" t="s">
        <v>3546</v>
      </c>
      <c r="E52" s="111" t="s">
        <v>3455</v>
      </c>
      <c r="F52" s="111" t="s">
        <v>3456</v>
      </c>
      <c r="G52" s="111" t="s">
        <v>3547</v>
      </c>
      <c r="H52" s="141" t="s">
        <v>3342</v>
      </c>
      <c r="I52" s="111" t="s">
        <v>3548</v>
      </c>
      <c r="J52" s="113" t="s">
        <v>3458</v>
      </c>
      <c r="K52" s="111" t="s">
        <v>3549</v>
      </c>
      <c r="L52" s="111" t="s">
        <v>3465</v>
      </c>
      <c r="M52" s="111" t="s">
        <v>3550</v>
      </c>
      <c r="N52" s="23"/>
      <c r="O52" s="23"/>
      <c r="P52" s="23"/>
      <c r="Q52" s="23"/>
      <c r="R52" s="23"/>
      <c r="S52" s="23"/>
      <c r="T52" s="23"/>
      <c r="U52" s="23"/>
      <c r="V52" s="23"/>
      <c r="W52" s="23"/>
      <c r="X52" s="23"/>
      <c r="Y52" s="23"/>
      <c r="Z52" s="23"/>
    </row>
    <row r="53">
      <c r="A53" s="145" t="s">
        <v>3551</v>
      </c>
      <c r="B53" s="111" t="s">
        <v>3534</v>
      </c>
      <c r="C53" s="111" t="s">
        <v>1657</v>
      </c>
      <c r="D53" s="111" t="s">
        <v>1698</v>
      </c>
      <c r="E53" s="111" t="s">
        <v>3512</v>
      </c>
      <c r="F53" s="111" t="s">
        <v>3535</v>
      </c>
      <c r="G53" s="111" t="s">
        <v>3269</v>
      </c>
      <c r="H53" s="141" t="s">
        <v>3269</v>
      </c>
      <c r="I53" s="111" t="s">
        <v>3269</v>
      </c>
      <c r="J53" s="111" t="s">
        <v>3269</v>
      </c>
      <c r="K53" s="111" t="s">
        <v>3552</v>
      </c>
      <c r="L53" s="111" t="s">
        <v>3537</v>
      </c>
      <c r="M53" s="111" t="s">
        <v>3553</v>
      </c>
      <c r="N53" s="111" t="s">
        <v>3539</v>
      </c>
      <c r="O53" s="111" t="s">
        <v>3540</v>
      </c>
      <c r="P53" s="23"/>
      <c r="Q53" s="23"/>
      <c r="R53" s="23"/>
      <c r="S53" s="23"/>
      <c r="T53" s="23"/>
      <c r="U53" s="23"/>
      <c r="V53" s="23"/>
      <c r="W53" s="23"/>
      <c r="X53" s="23"/>
      <c r="Y53" s="23"/>
      <c r="Z53" s="23"/>
    </row>
    <row r="54">
      <c r="A54" s="143">
        <v>46128.0</v>
      </c>
      <c r="B54" s="111" t="s">
        <v>3269</v>
      </c>
      <c r="C54" s="111" t="s">
        <v>1892</v>
      </c>
      <c r="D54" s="111" t="s">
        <v>3554</v>
      </c>
      <c r="E54" s="111" t="s">
        <v>3455</v>
      </c>
      <c r="F54" s="111" t="s">
        <v>3456</v>
      </c>
      <c r="G54" s="111" t="s">
        <v>3555</v>
      </c>
      <c r="H54" s="141" t="s">
        <v>3342</v>
      </c>
      <c r="I54" s="111" t="s">
        <v>3548</v>
      </c>
      <c r="J54" s="113" t="s">
        <v>3458</v>
      </c>
      <c r="K54" s="111" t="s">
        <v>3556</v>
      </c>
      <c r="L54" s="111" t="s">
        <v>3465</v>
      </c>
      <c r="M54" s="111" t="s">
        <v>3550</v>
      </c>
      <c r="N54" s="23"/>
      <c r="O54" s="23"/>
      <c r="P54" s="23"/>
      <c r="Q54" s="23"/>
      <c r="R54" s="23"/>
      <c r="S54" s="23"/>
      <c r="T54" s="23"/>
      <c r="U54" s="23"/>
      <c r="V54" s="23"/>
      <c r="W54" s="23"/>
      <c r="X54" s="23"/>
      <c r="Y54" s="23"/>
      <c r="Z54" s="23"/>
    </row>
    <row r="55">
      <c r="A55" s="116">
        <v>45764.0</v>
      </c>
      <c r="B55" s="111" t="s">
        <v>3534</v>
      </c>
      <c r="C55" s="111" t="s">
        <v>1657</v>
      </c>
      <c r="D55" s="111" t="s">
        <v>3557</v>
      </c>
      <c r="E55" s="111" t="s">
        <v>3512</v>
      </c>
      <c r="F55" s="111" t="s">
        <v>3535</v>
      </c>
      <c r="G55" s="111" t="s">
        <v>3558</v>
      </c>
      <c r="H55" s="141" t="s">
        <v>3269</v>
      </c>
      <c r="I55" s="111" t="s">
        <v>3269</v>
      </c>
      <c r="J55" s="111" t="s">
        <v>3269</v>
      </c>
      <c r="K55" s="111" t="s">
        <v>3559</v>
      </c>
      <c r="L55" s="111" t="s">
        <v>3537</v>
      </c>
      <c r="M55" s="111" t="s">
        <v>3553</v>
      </c>
      <c r="N55" s="111" t="s">
        <v>3539</v>
      </c>
      <c r="O55" s="111" t="s">
        <v>3540</v>
      </c>
      <c r="P55" s="23"/>
      <c r="Q55" s="23"/>
      <c r="R55" s="23"/>
      <c r="S55" s="23"/>
      <c r="T55" s="23"/>
      <c r="U55" s="23"/>
      <c r="V55" s="23"/>
      <c r="W55" s="23"/>
      <c r="X55" s="23"/>
      <c r="Y55" s="23"/>
      <c r="Z55" s="23"/>
    </row>
    <row r="56">
      <c r="A56" s="23" t="s">
        <v>3560</v>
      </c>
      <c r="B56" s="111" t="s">
        <v>3269</v>
      </c>
      <c r="C56" s="111" t="s">
        <v>1823</v>
      </c>
      <c r="D56" s="111" t="s">
        <v>3561</v>
      </c>
      <c r="E56" s="111" t="s">
        <v>3562</v>
      </c>
      <c r="F56" s="111" t="s">
        <v>3563</v>
      </c>
      <c r="G56" s="111" t="s">
        <v>3563</v>
      </c>
      <c r="H56" s="141" t="s">
        <v>3351</v>
      </c>
      <c r="I56" s="111" t="s">
        <v>3564</v>
      </c>
      <c r="J56" s="113" t="s">
        <v>3565</v>
      </c>
      <c r="K56" s="111" t="s">
        <v>3566</v>
      </c>
      <c r="L56" s="111" t="s">
        <v>3567</v>
      </c>
      <c r="M56" s="111" t="s">
        <v>3568</v>
      </c>
      <c r="N56" s="111" t="s">
        <v>3307</v>
      </c>
      <c r="O56" s="23"/>
      <c r="P56" s="23"/>
      <c r="Q56" s="23"/>
      <c r="R56" s="23"/>
      <c r="S56" s="23"/>
      <c r="T56" s="23"/>
      <c r="U56" s="23"/>
      <c r="V56" s="23"/>
      <c r="W56" s="23"/>
      <c r="X56" s="23"/>
      <c r="Y56" s="23"/>
      <c r="Z56" s="23"/>
    </row>
    <row r="57">
      <c r="A57" s="23" t="s">
        <v>3569</v>
      </c>
      <c r="B57" s="111" t="s">
        <v>3269</v>
      </c>
      <c r="C57" s="111" t="s">
        <v>1892</v>
      </c>
      <c r="D57" s="111" t="s">
        <v>3570</v>
      </c>
      <c r="E57" s="111" t="s">
        <v>3455</v>
      </c>
      <c r="F57" s="111" t="s">
        <v>3456</v>
      </c>
      <c r="G57" s="111" t="s">
        <v>3571</v>
      </c>
      <c r="H57" s="141" t="s">
        <v>3342</v>
      </c>
      <c r="I57" s="111" t="s">
        <v>3548</v>
      </c>
      <c r="J57" s="113" t="s">
        <v>3458</v>
      </c>
      <c r="K57" s="111" t="s">
        <v>3572</v>
      </c>
      <c r="L57" s="111" t="s">
        <v>3465</v>
      </c>
      <c r="M57" s="111" t="s">
        <v>3550</v>
      </c>
      <c r="N57" s="23"/>
      <c r="O57" s="23"/>
      <c r="P57" s="23"/>
      <c r="Q57" s="23"/>
      <c r="R57" s="23"/>
      <c r="S57" s="23"/>
      <c r="T57" s="23"/>
      <c r="U57" s="23"/>
      <c r="V57" s="23"/>
      <c r="W57" s="23"/>
      <c r="X57" s="23"/>
      <c r="Y57" s="23"/>
      <c r="Z57" s="23"/>
    </row>
    <row r="58">
      <c r="A58" s="146">
        <v>46148.0</v>
      </c>
      <c r="B58" s="111" t="s">
        <v>3269</v>
      </c>
      <c r="C58" s="111" t="s">
        <v>1892</v>
      </c>
      <c r="D58" s="111" t="s">
        <v>3573</v>
      </c>
      <c r="E58" s="111" t="s">
        <v>3455</v>
      </c>
      <c r="F58" s="111" t="s">
        <v>3456</v>
      </c>
      <c r="G58" s="111" t="s">
        <v>3574</v>
      </c>
      <c r="H58" s="141" t="s">
        <v>3342</v>
      </c>
      <c r="I58" s="111" t="s">
        <v>3575</v>
      </c>
      <c r="J58" s="113" t="s">
        <v>3458</v>
      </c>
      <c r="K58" s="111" t="s">
        <v>3576</v>
      </c>
      <c r="L58" s="111" t="s">
        <v>3465</v>
      </c>
      <c r="M58" s="111" t="s">
        <v>3550</v>
      </c>
      <c r="N58" s="23"/>
      <c r="O58" s="23"/>
      <c r="P58" s="23"/>
      <c r="Q58" s="23"/>
      <c r="R58" s="23"/>
      <c r="S58" s="23"/>
      <c r="T58" s="23"/>
      <c r="U58" s="23"/>
      <c r="V58" s="23"/>
      <c r="W58" s="23"/>
      <c r="X58" s="23"/>
      <c r="Y58" s="23"/>
      <c r="Z58" s="23"/>
    </row>
    <row r="59">
      <c r="A59" s="111" t="s">
        <v>3577</v>
      </c>
      <c r="B59" s="111" t="s">
        <v>3269</v>
      </c>
      <c r="C59" s="111" t="s">
        <v>278</v>
      </c>
      <c r="D59" s="111" t="s">
        <v>314</v>
      </c>
      <c r="E59" s="111" t="s">
        <v>3578</v>
      </c>
      <c r="F59" s="23"/>
      <c r="G59" s="111" t="s">
        <v>3579</v>
      </c>
      <c r="H59" s="142"/>
      <c r="I59" s="23"/>
      <c r="J59" s="23"/>
      <c r="K59" s="111" t="s">
        <v>3580</v>
      </c>
      <c r="L59" s="23"/>
      <c r="M59" s="111" t="s">
        <v>3246</v>
      </c>
      <c r="N59" s="23"/>
      <c r="O59" s="23"/>
      <c r="P59" s="23"/>
      <c r="Q59" s="23"/>
      <c r="R59" s="23"/>
      <c r="S59" s="23"/>
      <c r="T59" s="23"/>
      <c r="U59" s="23"/>
      <c r="V59" s="23"/>
      <c r="W59" s="23"/>
      <c r="X59" s="23"/>
      <c r="Y59" s="23"/>
      <c r="Z59" s="23"/>
    </row>
    <row r="60">
      <c r="A60" s="111" t="s">
        <v>3577</v>
      </c>
      <c r="B60" s="111" t="s">
        <v>3269</v>
      </c>
      <c r="C60" s="111" t="s">
        <v>278</v>
      </c>
      <c r="D60" s="111" t="s">
        <v>296</v>
      </c>
      <c r="E60" s="111" t="s">
        <v>3578</v>
      </c>
      <c r="F60" s="23"/>
      <c r="G60" s="111" t="s">
        <v>3581</v>
      </c>
      <c r="H60" s="142"/>
      <c r="I60" s="23"/>
      <c r="J60" s="23"/>
      <c r="K60" s="111" t="s">
        <v>3582</v>
      </c>
      <c r="L60" s="23"/>
      <c r="M60" s="111" t="s">
        <v>3246</v>
      </c>
      <c r="N60" s="23"/>
      <c r="O60" s="23"/>
      <c r="P60" s="23"/>
      <c r="Q60" s="23"/>
      <c r="R60" s="23"/>
      <c r="S60" s="23"/>
      <c r="T60" s="23"/>
      <c r="U60" s="23"/>
      <c r="V60" s="23"/>
      <c r="W60" s="23"/>
      <c r="X60" s="23"/>
      <c r="Y60" s="23"/>
      <c r="Z60" s="23"/>
    </row>
    <row r="61">
      <c r="A61" s="111" t="s">
        <v>3583</v>
      </c>
      <c r="B61" s="111" t="s">
        <v>3269</v>
      </c>
      <c r="C61" s="111" t="s">
        <v>2058</v>
      </c>
      <c r="D61" s="111" t="s">
        <v>2299</v>
      </c>
      <c r="E61" s="111" t="s">
        <v>3584</v>
      </c>
      <c r="F61" s="23"/>
      <c r="G61" s="111" t="s">
        <v>3585</v>
      </c>
      <c r="H61" s="142"/>
      <c r="I61" s="23"/>
      <c r="J61" s="23"/>
      <c r="K61" s="111" t="s">
        <v>3586</v>
      </c>
      <c r="L61" s="23"/>
      <c r="M61" s="111" t="s">
        <v>3246</v>
      </c>
      <c r="N61" s="23"/>
      <c r="O61" s="23"/>
      <c r="P61" s="23"/>
      <c r="Q61" s="23"/>
      <c r="R61" s="23"/>
      <c r="S61" s="23"/>
      <c r="T61" s="23"/>
      <c r="U61" s="23"/>
      <c r="V61" s="23"/>
      <c r="W61" s="23"/>
      <c r="X61" s="23"/>
      <c r="Y61" s="23"/>
      <c r="Z61" s="23"/>
    </row>
    <row r="62">
      <c r="A62" s="143">
        <v>46175.0</v>
      </c>
      <c r="B62" s="111" t="s">
        <v>3269</v>
      </c>
      <c r="C62" s="111" t="s">
        <v>1892</v>
      </c>
      <c r="D62" s="111" t="s">
        <v>3587</v>
      </c>
      <c r="E62" s="111" t="s">
        <v>3455</v>
      </c>
      <c r="F62" s="111" t="s">
        <v>3456</v>
      </c>
      <c r="G62" s="111" t="s">
        <v>3588</v>
      </c>
      <c r="H62" s="141" t="s">
        <v>3342</v>
      </c>
      <c r="I62" s="111" t="s">
        <v>3589</v>
      </c>
      <c r="J62" s="113" t="s">
        <v>3458</v>
      </c>
      <c r="K62" s="111" t="s">
        <v>3590</v>
      </c>
      <c r="L62" s="111" t="s">
        <v>3465</v>
      </c>
      <c r="M62" s="111" t="s">
        <v>3550</v>
      </c>
      <c r="N62" s="23"/>
      <c r="O62" s="23"/>
      <c r="P62" s="23"/>
      <c r="Q62" s="23"/>
      <c r="R62" s="23"/>
      <c r="S62" s="23"/>
      <c r="T62" s="23"/>
      <c r="U62" s="23"/>
      <c r="V62" s="23"/>
      <c r="W62" s="23"/>
      <c r="X62" s="23"/>
      <c r="Y62" s="23"/>
      <c r="Z62" s="23"/>
    </row>
    <row r="63">
      <c r="A63" s="23" t="s">
        <v>3591</v>
      </c>
      <c r="B63" s="111" t="s">
        <v>3269</v>
      </c>
      <c r="C63" s="111" t="s">
        <v>1892</v>
      </c>
      <c r="D63" s="111" t="s">
        <v>3592</v>
      </c>
      <c r="E63" s="111" t="s">
        <v>3455</v>
      </c>
      <c r="F63" s="111" t="s">
        <v>3456</v>
      </c>
      <c r="G63" s="111" t="s">
        <v>3593</v>
      </c>
      <c r="H63" s="141" t="s">
        <v>3342</v>
      </c>
      <c r="I63" s="111" t="s">
        <v>3589</v>
      </c>
      <c r="J63" s="113" t="s">
        <v>3458</v>
      </c>
      <c r="K63" s="111" t="s">
        <v>3594</v>
      </c>
      <c r="L63" s="111" t="s">
        <v>3595</v>
      </c>
      <c r="M63" s="111" t="s">
        <v>3596</v>
      </c>
      <c r="N63" s="23"/>
      <c r="O63" s="23"/>
      <c r="P63" s="23"/>
      <c r="Q63" s="23"/>
      <c r="R63" s="23"/>
      <c r="S63" s="23"/>
      <c r="T63" s="23"/>
      <c r="U63" s="23"/>
      <c r="V63" s="23"/>
      <c r="W63" s="23"/>
      <c r="X63" s="23"/>
      <c r="Y63" s="23"/>
      <c r="Z63" s="23"/>
    </row>
    <row r="64">
      <c r="A64" s="143">
        <v>46178.0</v>
      </c>
      <c r="B64" s="111" t="s">
        <v>3269</v>
      </c>
      <c r="C64" s="111" t="s">
        <v>1892</v>
      </c>
      <c r="D64" s="111" t="s">
        <v>3597</v>
      </c>
      <c r="E64" s="111" t="s">
        <v>3455</v>
      </c>
      <c r="F64" s="111" t="s">
        <v>3456</v>
      </c>
      <c r="G64" s="111" t="s">
        <v>3598</v>
      </c>
      <c r="H64" s="141" t="s">
        <v>3342</v>
      </c>
      <c r="I64" s="111" t="s">
        <v>3589</v>
      </c>
      <c r="J64" s="113" t="s">
        <v>3458</v>
      </c>
      <c r="K64" s="111" t="s">
        <v>3599</v>
      </c>
      <c r="L64" s="111" t="s">
        <v>3465</v>
      </c>
      <c r="M64" s="111" t="s">
        <v>3550</v>
      </c>
      <c r="N64" s="23"/>
      <c r="O64" s="23"/>
      <c r="P64" s="23"/>
      <c r="Q64" s="23"/>
      <c r="R64" s="23"/>
      <c r="S64" s="23"/>
      <c r="T64" s="23"/>
      <c r="U64" s="23"/>
      <c r="V64" s="23"/>
      <c r="W64" s="23"/>
      <c r="X64" s="23"/>
      <c r="Y64" s="23"/>
      <c r="Z64" s="23"/>
    </row>
    <row r="65">
      <c r="A65" s="143">
        <v>46182.0</v>
      </c>
      <c r="B65" s="111" t="s">
        <v>3269</v>
      </c>
      <c r="C65" s="111" t="s">
        <v>1892</v>
      </c>
      <c r="D65" s="111" t="s">
        <v>3600</v>
      </c>
      <c r="E65" s="111" t="s">
        <v>3455</v>
      </c>
      <c r="F65" s="111" t="s">
        <v>3456</v>
      </c>
      <c r="G65" s="111" t="s">
        <v>3601</v>
      </c>
      <c r="H65" s="141" t="s">
        <v>3342</v>
      </c>
      <c r="I65" s="111" t="s">
        <v>3589</v>
      </c>
      <c r="J65" s="113" t="s">
        <v>3458</v>
      </c>
      <c r="K65" s="111" t="s">
        <v>3602</v>
      </c>
      <c r="L65" s="111" t="s">
        <v>3465</v>
      </c>
      <c r="M65" s="111" t="s">
        <v>3550</v>
      </c>
      <c r="N65" s="23"/>
      <c r="O65" s="23"/>
      <c r="P65" s="23"/>
      <c r="Q65" s="23"/>
      <c r="R65" s="23"/>
      <c r="S65" s="23"/>
      <c r="T65" s="23"/>
      <c r="U65" s="23"/>
      <c r="V65" s="23"/>
      <c r="W65" s="23"/>
      <c r="X65" s="23"/>
      <c r="Y65" s="23"/>
      <c r="Z65" s="23"/>
    </row>
    <row r="66">
      <c r="A66" s="143">
        <v>46189.0</v>
      </c>
      <c r="B66" s="111" t="s">
        <v>3269</v>
      </c>
      <c r="C66" s="111" t="s">
        <v>1892</v>
      </c>
      <c r="D66" s="111" t="s">
        <v>3603</v>
      </c>
      <c r="E66" s="111" t="s">
        <v>3455</v>
      </c>
      <c r="F66" s="111" t="s">
        <v>3456</v>
      </c>
      <c r="G66" s="111" t="s">
        <v>3604</v>
      </c>
      <c r="H66" s="141" t="s">
        <v>3342</v>
      </c>
      <c r="I66" s="111" t="s">
        <v>3589</v>
      </c>
      <c r="J66" s="113" t="s">
        <v>3458</v>
      </c>
      <c r="K66" s="111" t="s">
        <v>3605</v>
      </c>
      <c r="L66" s="111" t="s">
        <v>3465</v>
      </c>
      <c r="M66" s="111" t="s">
        <v>3550</v>
      </c>
      <c r="N66" s="23"/>
      <c r="O66" s="23"/>
      <c r="P66" s="23"/>
      <c r="Q66" s="23"/>
      <c r="R66" s="23"/>
      <c r="S66" s="23"/>
      <c r="T66" s="23"/>
      <c r="U66" s="23"/>
      <c r="V66" s="23"/>
      <c r="W66" s="23"/>
      <c r="X66" s="23"/>
      <c r="Y66" s="23"/>
      <c r="Z66" s="23"/>
    </row>
    <row r="67">
      <c r="A67" s="23" t="s">
        <v>3606</v>
      </c>
      <c r="B67" s="111" t="s">
        <v>3269</v>
      </c>
      <c r="C67" s="111" t="s">
        <v>1892</v>
      </c>
      <c r="D67" s="111" t="s">
        <v>3607</v>
      </c>
      <c r="E67" s="111" t="s">
        <v>3455</v>
      </c>
      <c r="F67" s="111" t="s">
        <v>3456</v>
      </c>
      <c r="G67" s="111" t="s">
        <v>3608</v>
      </c>
      <c r="H67" s="141" t="s">
        <v>3342</v>
      </c>
      <c r="I67" s="111" t="s">
        <v>3589</v>
      </c>
      <c r="J67" s="113" t="s">
        <v>3458</v>
      </c>
      <c r="K67" s="111" t="s">
        <v>3609</v>
      </c>
      <c r="L67" s="111" t="s">
        <v>3465</v>
      </c>
      <c r="M67" s="111" t="s">
        <v>3550</v>
      </c>
      <c r="N67" s="23"/>
      <c r="O67" s="23"/>
      <c r="P67" s="23"/>
      <c r="Q67" s="23"/>
      <c r="R67" s="23"/>
      <c r="S67" s="23"/>
      <c r="T67" s="23"/>
      <c r="U67" s="23"/>
      <c r="V67" s="23"/>
      <c r="W67" s="23"/>
      <c r="X67" s="23"/>
      <c r="Y67" s="23"/>
      <c r="Z67" s="23"/>
    </row>
    <row r="68">
      <c r="A68" s="143">
        <v>46192.0</v>
      </c>
      <c r="B68" s="111" t="s">
        <v>3269</v>
      </c>
      <c r="C68" s="111" t="s">
        <v>1892</v>
      </c>
      <c r="D68" s="111" t="s">
        <v>3610</v>
      </c>
      <c r="E68" s="111" t="s">
        <v>3455</v>
      </c>
      <c r="F68" s="111" t="s">
        <v>3456</v>
      </c>
      <c r="G68" s="111" t="s">
        <v>3611</v>
      </c>
      <c r="H68" s="141" t="s">
        <v>3342</v>
      </c>
      <c r="I68" s="111" t="s">
        <v>3589</v>
      </c>
      <c r="J68" s="113" t="s">
        <v>3458</v>
      </c>
      <c r="K68" s="111" t="s">
        <v>3612</v>
      </c>
      <c r="L68" s="111" t="s">
        <v>3465</v>
      </c>
      <c r="M68" s="111" t="s">
        <v>3550</v>
      </c>
      <c r="N68" s="23"/>
      <c r="O68" s="23"/>
      <c r="P68" s="23"/>
      <c r="Q68" s="23"/>
      <c r="R68" s="23"/>
      <c r="S68" s="23"/>
      <c r="T68" s="23"/>
      <c r="U68" s="23"/>
      <c r="V68" s="23"/>
      <c r="W68" s="23"/>
      <c r="X68" s="23"/>
      <c r="Y68" s="23"/>
      <c r="Z68" s="23"/>
    </row>
    <row r="69">
      <c r="A69" s="23" t="s">
        <v>3613</v>
      </c>
      <c r="B69" s="111" t="s">
        <v>3269</v>
      </c>
      <c r="C69" s="111" t="s">
        <v>1892</v>
      </c>
      <c r="D69" s="111" t="s">
        <v>3614</v>
      </c>
      <c r="E69" s="111" t="s">
        <v>3455</v>
      </c>
      <c r="F69" s="111" t="s">
        <v>3456</v>
      </c>
      <c r="G69" s="111" t="s">
        <v>3615</v>
      </c>
      <c r="H69" s="141" t="s">
        <v>3342</v>
      </c>
      <c r="I69" s="111" t="s">
        <v>3589</v>
      </c>
      <c r="J69" s="113" t="s">
        <v>3458</v>
      </c>
      <c r="K69" s="111" t="s">
        <v>3616</v>
      </c>
      <c r="L69" s="111" t="s">
        <v>3617</v>
      </c>
      <c r="M69" s="111" t="s">
        <v>3618</v>
      </c>
      <c r="N69" s="23"/>
      <c r="O69" s="23"/>
      <c r="P69" s="23"/>
      <c r="Q69" s="23"/>
      <c r="R69" s="23"/>
      <c r="S69" s="23"/>
      <c r="T69" s="23"/>
      <c r="U69" s="23"/>
      <c r="V69" s="23"/>
      <c r="W69" s="23"/>
      <c r="X69" s="23"/>
      <c r="Y69" s="23"/>
      <c r="Z69" s="23"/>
    </row>
    <row r="70">
      <c r="A70" s="23" t="s">
        <v>3619</v>
      </c>
      <c r="B70" s="111" t="s">
        <v>3269</v>
      </c>
      <c r="C70" s="111" t="s">
        <v>1892</v>
      </c>
      <c r="D70" s="111" t="s">
        <v>3620</v>
      </c>
      <c r="E70" s="111" t="s">
        <v>3455</v>
      </c>
      <c r="F70" s="111" t="s">
        <v>3456</v>
      </c>
      <c r="G70" s="111" t="s">
        <v>3621</v>
      </c>
      <c r="H70" s="141" t="s">
        <v>3342</v>
      </c>
      <c r="I70" s="111" t="s">
        <v>3589</v>
      </c>
      <c r="J70" s="113" t="s">
        <v>3458</v>
      </c>
      <c r="K70" s="111" t="s">
        <v>3622</v>
      </c>
      <c r="L70" s="111" t="s">
        <v>3465</v>
      </c>
      <c r="M70" s="111" t="s">
        <v>3550</v>
      </c>
      <c r="N70" s="23"/>
      <c r="O70" s="23"/>
      <c r="P70" s="23"/>
      <c r="Q70" s="23"/>
      <c r="R70" s="23"/>
      <c r="S70" s="23"/>
      <c r="T70" s="23"/>
      <c r="U70" s="23"/>
      <c r="V70" s="23"/>
      <c r="W70" s="23"/>
      <c r="X70" s="23"/>
      <c r="Y70" s="23"/>
      <c r="Z70" s="23"/>
    </row>
    <row r="71">
      <c r="A71" s="143">
        <v>46199.0</v>
      </c>
      <c r="B71" s="111" t="s">
        <v>3269</v>
      </c>
      <c r="C71" s="111" t="s">
        <v>1892</v>
      </c>
      <c r="D71" s="111" t="s">
        <v>3623</v>
      </c>
      <c r="E71" s="111" t="s">
        <v>3455</v>
      </c>
      <c r="F71" s="111" t="s">
        <v>3456</v>
      </c>
      <c r="G71" s="111" t="s">
        <v>3624</v>
      </c>
      <c r="H71" s="141" t="s">
        <v>3342</v>
      </c>
      <c r="I71" s="111" t="s">
        <v>3589</v>
      </c>
      <c r="J71" s="113" t="s">
        <v>3458</v>
      </c>
      <c r="K71" s="111" t="s">
        <v>3625</v>
      </c>
      <c r="L71" s="111" t="s">
        <v>3465</v>
      </c>
      <c r="M71" s="111" t="s">
        <v>3550</v>
      </c>
      <c r="N71" s="23"/>
      <c r="O71" s="23"/>
      <c r="P71" s="23"/>
      <c r="Q71" s="23"/>
      <c r="R71" s="23"/>
      <c r="S71" s="23"/>
      <c r="T71" s="23"/>
      <c r="U71" s="23"/>
      <c r="V71" s="23"/>
      <c r="W71" s="23"/>
      <c r="X71" s="23"/>
      <c r="Y71" s="23"/>
      <c r="Z71" s="23"/>
    </row>
    <row r="72">
      <c r="A72" s="143">
        <v>46203.0</v>
      </c>
      <c r="B72" s="111" t="s">
        <v>3269</v>
      </c>
      <c r="C72" s="111" t="s">
        <v>1892</v>
      </c>
      <c r="D72" s="111" t="s">
        <v>3626</v>
      </c>
      <c r="E72" s="111" t="s">
        <v>3455</v>
      </c>
      <c r="F72" s="111" t="s">
        <v>3456</v>
      </c>
      <c r="G72" s="111" t="s">
        <v>3627</v>
      </c>
      <c r="H72" s="141" t="s">
        <v>3342</v>
      </c>
      <c r="I72" s="111" t="s">
        <v>3589</v>
      </c>
      <c r="J72" s="113" t="s">
        <v>3458</v>
      </c>
      <c r="K72" s="111" t="s">
        <v>3628</v>
      </c>
      <c r="L72" s="111" t="s">
        <v>3465</v>
      </c>
      <c r="M72" s="111" t="s">
        <v>3550</v>
      </c>
      <c r="N72" s="23"/>
      <c r="O72" s="23"/>
      <c r="P72" s="23"/>
      <c r="Q72" s="23"/>
      <c r="R72" s="23"/>
      <c r="S72" s="23"/>
      <c r="T72" s="23"/>
      <c r="U72" s="23"/>
      <c r="V72" s="23"/>
      <c r="W72" s="23"/>
      <c r="X72" s="23"/>
      <c r="Y72" s="23"/>
      <c r="Z72" s="23"/>
    </row>
    <row r="73">
      <c r="A73" s="143">
        <v>46204.0</v>
      </c>
      <c r="B73" s="111" t="s">
        <v>3269</v>
      </c>
      <c r="C73" s="111" t="s">
        <v>1892</v>
      </c>
      <c r="D73" s="111" t="s">
        <v>3629</v>
      </c>
      <c r="E73" s="111" t="s">
        <v>3455</v>
      </c>
      <c r="F73" s="111" t="s">
        <v>3456</v>
      </c>
      <c r="G73" s="111" t="s">
        <v>3630</v>
      </c>
      <c r="H73" s="141" t="s">
        <v>3342</v>
      </c>
      <c r="I73" s="111" t="s">
        <v>3631</v>
      </c>
      <c r="J73" s="113" t="s">
        <v>3458</v>
      </c>
      <c r="K73" s="111" t="s">
        <v>3632</v>
      </c>
      <c r="L73" s="111" t="s">
        <v>3465</v>
      </c>
      <c r="M73" s="111" t="s">
        <v>3550</v>
      </c>
      <c r="N73" s="23"/>
      <c r="O73" s="23"/>
      <c r="P73" s="23"/>
      <c r="Q73" s="23"/>
      <c r="R73" s="23"/>
      <c r="S73" s="23"/>
      <c r="T73" s="23"/>
      <c r="U73" s="23"/>
      <c r="V73" s="23"/>
      <c r="W73" s="23"/>
      <c r="X73" s="23"/>
      <c r="Y73" s="23"/>
      <c r="Z73" s="23"/>
    </row>
    <row r="74">
      <c r="A74" s="23" t="s">
        <v>3633</v>
      </c>
      <c r="B74" s="111" t="s">
        <v>3269</v>
      </c>
      <c r="C74" s="111" t="s">
        <v>1614</v>
      </c>
      <c r="D74" s="111" t="s">
        <v>3634</v>
      </c>
      <c r="E74" s="111" t="s">
        <v>3635</v>
      </c>
      <c r="F74" s="111" t="s">
        <v>3636</v>
      </c>
      <c r="G74" s="111" t="s">
        <v>3269</v>
      </c>
      <c r="H74" s="141" t="s">
        <v>3342</v>
      </c>
      <c r="I74" s="111" t="s">
        <v>1370</v>
      </c>
      <c r="J74" s="113" t="s">
        <v>3637</v>
      </c>
      <c r="K74" s="111" t="s">
        <v>3638</v>
      </c>
      <c r="L74" s="111" t="s">
        <v>3639</v>
      </c>
      <c r="M74" s="111" t="s">
        <v>3640</v>
      </c>
      <c r="N74" s="111" t="s">
        <v>3277</v>
      </c>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111" t="s">
        <v>3641</v>
      </c>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110" t="s">
        <v>3642</v>
      </c>
      <c r="D80" s="110" t="s">
        <v>3643</v>
      </c>
      <c r="I80" s="23"/>
      <c r="J80" s="23"/>
      <c r="K80" s="23"/>
      <c r="L80" s="23"/>
      <c r="M80" s="23"/>
      <c r="N80" s="23"/>
      <c r="O80" s="23"/>
      <c r="P80" s="23"/>
      <c r="Q80" s="23"/>
      <c r="R80" s="23"/>
      <c r="S80" s="23"/>
      <c r="T80" s="23"/>
      <c r="U80" s="23"/>
      <c r="V80" s="23"/>
      <c r="W80" s="23"/>
      <c r="X80" s="23"/>
      <c r="Y80" s="23"/>
      <c r="Z80" s="23"/>
    </row>
    <row r="81">
      <c r="A81" s="23"/>
      <c r="B81" s="23"/>
      <c r="C81" s="110" t="s">
        <v>3644</v>
      </c>
      <c r="D81" s="110" t="s">
        <v>3645</v>
      </c>
      <c r="I81" s="23"/>
      <c r="J81" s="23"/>
      <c r="K81" s="23"/>
      <c r="L81" s="23"/>
      <c r="M81" s="23"/>
      <c r="N81" s="23"/>
      <c r="O81" s="23"/>
      <c r="P81" s="23"/>
      <c r="Q81" s="23"/>
      <c r="R81" s="23"/>
      <c r="S81" s="23"/>
      <c r="T81" s="23"/>
      <c r="U81" s="23"/>
      <c r="V81" s="23"/>
      <c r="W81" s="23"/>
      <c r="X81" s="23"/>
      <c r="Y81" s="23"/>
      <c r="Z81" s="23"/>
    </row>
    <row r="82">
      <c r="A82" s="23"/>
      <c r="B82" s="23"/>
      <c r="C82" s="110" t="s">
        <v>3646</v>
      </c>
      <c r="D82" s="110" t="s">
        <v>3647</v>
      </c>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111" t="s">
        <v>3648</v>
      </c>
      <c r="C85" s="147" t="s">
        <v>3649</v>
      </c>
      <c r="I85" s="23"/>
      <c r="J85" s="23"/>
      <c r="K85" s="23"/>
      <c r="L85" s="23"/>
      <c r="M85" s="23"/>
      <c r="N85" s="23"/>
      <c r="O85" s="23"/>
      <c r="P85" s="23"/>
      <c r="Q85" s="23"/>
      <c r="R85" s="23"/>
      <c r="S85" s="23"/>
      <c r="T85" s="23"/>
      <c r="U85" s="23"/>
      <c r="V85" s="23"/>
      <c r="W85" s="23"/>
      <c r="X85" s="23"/>
      <c r="Y85" s="23"/>
      <c r="Z85" s="23"/>
    </row>
    <row r="86">
      <c r="A86" s="23"/>
      <c r="B86" s="23"/>
      <c r="I86" s="23"/>
      <c r="J86" s="23"/>
      <c r="K86" s="23"/>
      <c r="L86" s="23"/>
      <c r="M86" s="23"/>
      <c r="N86" s="23"/>
      <c r="O86" s="23"/>
      <c r="P86" s="23"/>
      <c r="Q86" s="23"/>
      <c r="R86" s="23"/>
      <c r="S86" s="23"/>
      <c r="T86" s="23"/>
      <c r="U86" s="23"/>
      <c r="V86" s="23"/>
      <c r="W86" s="23"/>
      <c r="X86" s="23"/>
      <c r="Y86" s="23"/>
      <c r="Z86" s="23"/>
    </row>
    <row r="87">
      <c r="A87" s="23"/>
      <c r="B87" s="23"/>
      <c r="I87" s="23"/>
      <c r="J87" s="23"/>
      <c r="K87" s="23"/>
      <c r="L87" s="23"/>
      <c r="M87" s="23"/>
      <c r="N87" s="23"/>
      <c r="O87" s="23"/>
      <c r="P87" s="23"/>
      <c r="Q87" s="23"/>
      <c r="R87" s="23"/>
      <c r="S87" s="23"/>
      <c r="T87" s="23"/>
      <c r="U87" s="23"/>
      <c r="V87" s="23"/>
      <c r="W87" s="23"/>
      <c r="X87" s="23"/>
      <c r="Y87" s="23"/>
      <c r="Z87" s="23"/>
    </row>
    <row r="88">
      <c r="A88" s="23"/>
      <c r="B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sheetData>
  <mergeCells count="5">
    <mergeCell ref="C78:F78"/>
    <mergeCell ref="D80:H80"/>
    <mergeCell ref="D81:H81"/>
    <mergeCell ref="D82:H82"/>
    <mergeCell ref="C85:H88"/>
  </mergeCells>
  <dataValidations>
    <dataValidation type="list" allowBlank="1" showErrorMessage="1" sqref="N3 N5:N13 N15 N17:N19 N22:N23 N25:N26 N28 N34:N37 N39 N46:N47 N56 N74">
      <formula1>"We are already going,This looks interesting,Expensive"</formula1>
    </dataValidation>
  </dataValidations>
  <hyperlinks>
    <hyperlink r:id="rId1" ref="J2"/>
    <hyperlink r:id="rId2" ref="J4"/>
    <hyperlink r:id="rId3" ref="J5"/>
    <hyperlink r:id="rId4" ref="J6"/>
    <hyperlink r:id="rId5" ref="J7"/>
    <hyperlink r:id="rId6" ref="J8"/>
    <hyperlink r:id="rId7" ref="J9"/>
    <hyperlink r:id="rId8" ref="J10"/>
    <hyperlink r:id="rId9" ref="J11"/>
    <hyperlink r:id="rId10" ref="J13"/>
    <hyperlink r:id="rId11" ref="J14"/>
    <hyperlink r:id="rId12" ref="J15"/>
    <hyperlink r:id="rId13" ref="J16"/>
    <hyperlink r:id="rId14" ref="J17"/>
    <hyperlink r:id="rId15" ref="J18"/>
    <hyperlink r:id="rId16" ref="J19"/>
    <hyperlink r:id="rId17" ref="J21"/>
    <hyperlink r:id="rId18" ref="J22"/>
    <hyperlink r:id="rId19" ref="J23"/>
    <hyperlink r:id="rId20" ref="J24"/>
    <hyperlink r:id="rId21" ref="J25"/>
    <hyperlink r:id="rId22" ref="J26"/>
    <hyperlink r:id="rId23" ref="J27"/>
    <hyperlink r:id="rId24" ref="J28"/>
    <hyperlink r:id="rId25" ref="J31"/>
    <hyperlink r:id="rId26" ref="J32"/>
    <hyperlink r:id="rId27" ref="J33"/>
    <hyperlink r:id="rId28" ref="J34"/>
    <hyperlink r:id="rId29" ref="J35"/>
    <hyperlink r:id="rId30" ref="J36"/>
    <hyperlink r:id="rId31" ref="J37"/>
    <hyperlink r:id="rId32" ref="J38"/>
    <hyperlink r:id="rId33" ref="J39"/>
    <hyperlink r:id="rId34" ref="J40"/>
    <hyperlink r:id="rId35" ref="J41"/>
    <hyperlink r:id="rId36" ref="J42"/>
    <hyperlink r:id="rId37" ref="J45"/>
    <hyperlink r:id="rId38" ref="J47"/>
    <hyperlink r:id="rId39" ref="J52"/>
    <hyperlink r:id="rId40" ref="J54"/>
    <hyperlink r:id="rId41" ref="J56"/>
    <hyperlink r:id="rId42" ref="J57"/>
    <hyperlink r:id="rId43" ref="J58"/>
    <hyperlink r:id="rId44" ref="J62"/>
    <hyperlink r:id="rId45" ref="J63"/>
    <hyperlink r:id="rId46" ref="J64"/>
    <hyperlink r:id="rId47" ref="J65"/>
    <hyperlink r:id="rId48" ref="J66"/>
    <hyperlink r:id="rId49" ref="J67"/>
    <hyperlink r:id="rId50" ref="J68"/>
    <hyperlink r:id="rId51" ref="J69"/>
    <hyperlink r:id="rId52" ref="J70"/>
    <hyperlink r:id="rId53" ref="J71"/>
    <hyperlink r:id="rId54" ref="J72"/>
    <hyperlink r:id="rId55" ref="J73"/>
    <hyperlink r:id="rId56" ref="J74"/>
  </hyperlinks>
  <drawing r:id="rId5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0" t="s">
        <v>3650</v>
      </c>
      <c r="B1" s="110" t="s">
        <v>3651</v>
      </c>
      <c r="C1" s="110" t="s">
        <v>3652</v>
      </c>
      <c r="D1" s="110" t="s">
        <v>1</v>
      </c>
      <c r="E1" s="110" t="s">
        <v>3653</v>
      </c>
      <c r="F1" s="110" t="s">
        <v>3654</v>
      </c>
      <c r="G1" s="110" t="s">
        <v>3655</v>
      </c>
      <c r="H1" s="110" t="s">
        <v>19</v>
      </c>
      <c r="I1" s="110" t="s">
        <v>3656</v>
      </c>
      <c r="J1" s="110" t="s">
        <v>3657</v>
      </c>
      <c r="K1" s="110" t="s">
        <v>3658</v>
      </c>
      <c r="L1" s="23"/>
      <c r="M1" s="23"/>
      <c r="N1" s="23"/>
      <c r="O1" s="23"/>
      <c r="P1" s="23"/>
      <c r="Q1" s="23"/>
      <c r="R1" s="23"/>
      <c r="S1" s="23"/>
      <c r="T1" s="23"/>
      <c r="U1" s="23"/>
      <c r="V1" s="23"/>
      <c r="W1" s="23"/>
      <c r="X1" s="23"/>
      <c r="Y1" s="23"/>
      <c r="Z1" s="23"/>
    </row>
    <row r="2">
      <c r="A2" s="111" t="s">
        <v>3659</v>
      </c>
      <c r="B2" s="111" t="s">
        <v>3660</v>
      </c>
      <c r="C2" s="111" t="s">
        <v>3661</v>
      </c>
      <c r="D2" s="111" t="s">
        <v>3662</v>
      </c>
      <c r="E2" s="111" t="s">
        <v>3663</v>
      </c>
      <c r="F2" s="111" t="s">
        <v>3664</v>
      </c>
      <c r="G2" s="111" t="s">
        <v>3665</v>
      </c>
      <c r="H2" s="111" t="s">
        <v>3666</v>
      </c>
      <c r="I2" s="111" t="s">
        <v>3667</v>
      </c>
      <c r="J2" s="111" t="s">
        <v>3668</v>
      </c>
      <c r="K2" s="116">
        <v>45904.0</v>
      </c>
      <c r="L2" s="23"/>
      <c r="M2" s="23"/>
      <c r="N2" s="23"/>
      <c r="O2" s="23"/>
      <c r="P2" s="23"/>
      <c r="Q2" s="23"/>
      <c r="R2" s="23"/>
      <c r="S2" s="23"/>
      <c r="T2" s="23"/>
      <c r="U2" s="23"/>
      <c r="V2" s="23"/>
      <c r="W2" s="23"/>
      <c r="X2" s="23"/>
      <c r="Y2" s="23"/>
      <c r="Z2" s="23"/>
    </row>
    <row r="3">
      <c r="A3" s="111" t="s">
        <v>3659</v>
      </c>
      <c r="B3" s="111" t="s">
        <v>3669</v>
      </c>
      <c r="C3" s="111" t="s">
        <v>1566</v>
      </c>
      <c r="D3" s="111" t="s">
        <v>1552</v>
      </c>
      <c r="E3" s="111" t="s">
        <v>3670</v>
      </c>
      <c r="F3" s="111" t="s">
        <v>1567</v>
      </c>
      <c r="G3" s="111" t="str">
        <f>"+39 040 3739 249"</f>
        <v>+39 040 3739 249</v>
      </c>
      <c r="H3" s="111" t="s">
        <v>3671</v>
      </c>
      <c r="I3" s="111" t="s">
        <v>3672</v>
      </c>
      <c r="J3" s="111" t="s">
        <v>3673</v>
      </c>
      <c r="K3" s="137">
        <v>45910.0</v>
      </c>
      <c r="L3" s="23"/>
      <c r="M3" s="23"/>
      <c r="N3" s="23"/>
      <c r="O3" s="23"/>
      <c r="P3" s="23"/>
      <c r="Q3" s="23"/>
      <c r="R3" s="23"/>
      <c r="S3" s="23"/>
      <c r="T3" s="23"/>
      <c r="U3" s="23"/>
      <c r="V3" s="23"/>
      <c r="W3" s="23"/>
      <c r="X3" s="23"/>
      <c r="Y3" s="23"/>
      <c r="Z3" s="23"/>
    </row>
    <row r="4">
      <c r="A4" s="111" t="s">
        <v>3659</v>
      </c>
      <c r="B4" s="111" t="s">
        <v>3674</v>
      </c>
      <c r="C4" s="111" t="s">
        <v>3675</v>
      </c>
      <c r="D4" s="111" t="s">
        <v>3676</v>
      </c>
      <c r="E4" s="111" t="s">
        <v>3677</v>
      </c>
      <c r="F4" s="111" t="s">
        <v>3678</v>
      </c>
      <c r="G4" s="111" t="str">
        <f>"+49 (0)761 708 396 31 and +49 15563 984518"</f>
        <v>+49 (0)761 708 396 31 and +49 15563 984518</v>
      </c>
      <c r="H4" s="111" t="s">
        <v>3679</v>
      </c>
      <c r="I4" s="137">
        <v>45908.0</v>
      </c>
      <c r="J4" s="111" t="s">
        <v>3680</v>
      </c>
      <c r="K4" s="137">
        <v>45908.0</v>
      </c>
      <c r="L4" s="23"/>
      <c r="M4" s="23"/>
      <c r="N4" s="23"/>
      <c r="O4" s="23"/>
      <c r="P4" s="23"/>
      <c r="Q4" s="23"/>
      <c r="R4" s="23"/>
      <c r="S4" s="23"/>
      <c r="T4" s="23"/>
      <c r="U4" s="23"/>
      <c r="V4" s="23"/>
      <c r="W4" s="23"/>
      <c r="X4" s="23"/>
      <c r="Y4" s="23"/>
      <c r="Z4" s="23"/>
    </row>
    <row r="5">
      <c r="A5" s="111" t="s">
        <v>3659</v>
      </c>
      <c r="B5" s="111" t="s">
        <v>3681</v>
      </c>
      <c r="C5" s="111" t="s">
        <v>3682</v>
      </c>
      <c r="D5" s="111" t="s">
        <v>3683</v>
      </c>
      <c r="E5" s="111" t="s">
        <v>3684</v>
      </c>
      <c r="F5" s="111" t="s">
        <v>3685</v>
      </c>
      <c r="G5" s="111" t="s">
        <v>3686</v>
      </c>
      <c r="H5" s="111" t="s">
        <v>3687</v>
      </c>
      <c r="I5" s="111" t="s">
        <v>3688</v>
      </c>
      <c r="J5" s="111" t="s">
        <v>3689</v>
      </c>
      <c r="K5" s="137">
        <v>45755.0</v>
      </c>
      <c r="L5" s="23"/>
      <c r="M5" s="23"/>
      <c r="N5" s="23"/>
      <c r="O5" s="23"/>
      <c r="P5" s="23"/>
      <c r="Q5" s="23"/>
      <c r="R5" s="23"/>
      <c r="S5" s="23"/>
      <c r="T5" s="23"/>
      <c r="U5" s="23"/>
      <c r="V5" s="23"/>
      <c r="W5" s="23"/>
      <c r="X5" s="23"/>
      <c r="Y5" s="23"/>
      <c r="Z5" s="23"/>
    </row>
    <row r="6">
      <c r="A6" s="111" t="s">
        <v>3659</v>
      </c>
      <c r="B6" s="111" t="s">
        <v>3690</v>
      </c>
      <c r="C6" s="111" t="s">
        <v>3691</v>
      </c>
      <c r="D6" s="111" t="s">
        <v>3692</v>
      </c>
      <c r="E6" s="111" t="s">
        <v>3693</v>
      </c>
      <c r="F6" s="111" t="s">
        <v>3694</v>
      </c>
      <c r="G6" s="111" t="s">
        <v>3695</v>
      </c>
      <c r="H6" s="111" t="s">
        <v>3696</v>
      </c>
      <c r="I6" s="111" t="s">
        <v>3697</v>
      </c>
      <c r="J6" s="111" t="s">
        <v>3698</v>
      </c>
      <c r="K6" s="116">
        <v>45763.0</v>
      </c>
      <c r="L6" s="23"/>
      <c r="M6" s="23"/>
      <c r="N6" s="23"/>
      <c r="O6" s="23"/>
      <c r="P6" s="23"/>
      <c r="Q6" s="23"/>
      <c r="R6" s="23"/>
      <c r="S6" s="23"/>
      <c r="T6" s="23"/>
      <c r="U6" s="23"/>
      <c r="V6" s="23"/>
      <c r="W6" s="23"/>
      <c r="X6" s="23"/>
      <c r="Y6" s="23"/>
      <c r="Z6" s="23"/>
    </row>
    <row r="7">
      <c r="A7" s="111" t="s">
        <v>3699</v>
      </c>
      <c r="B7" s="111" t="s">
        <v>3700</v>
      </c>
      <c r="C7" s="111" t="s">
        <v>3699</v>
      </c>
      <c r="D7" s="111" t="s">
        <v>3701</v>
      </c>
      <c r="E7" s="111" t="s">
        <v>3702</v>
      </c>
      <c r="F7" s="111" t="s">
        <v>3703</v>
      </c>
      <c r="G7" s="148" t="str">
        <f>+46 36 10 38 10, +46 76 275 69 27</f>
        <v>#ERROR!</v>
      </c>
      <c r="H7" s="111" t="s">
        <v>3704</v>
      </c>
      <c r="I7" s="116">
        <v>45675.0</v>
      </c>
      <c r="J7" s="111" t="s">
        <v>3705</v>
      </c>
      <c r="K7" s="116">
        <v>45675.0</v>
      </c>
      <c r="L7" s="23"/>
      <c r="M7" s="23"/>
      <c r="N7" s="23"/>
      <c r="O7" s="23"/>
      <c r="P7" s="23"/>
      <c r="Q7" s="23"/>
      <c r="R7" s="23"/>
      <c r="S7" s="23"/>
      <c r="T7" s="23"/>
      <c r="U7" s="23"/>
      <c r="V7" s="23"/>
      <c r="W7" s="23"/>
      <c r="X7" s="23"/>
      <c r="Y7" s="23"/>
      <c r="Z7" s="23"/>
    </row>
    <row r="8">
      <c r="A8" s="111" t="s">
        <v>1274</v>
      </c>
      <c r="B8" s="111" t="s">
        <v>3706</v>
      </c>
      <c r="C8" s="111" t="s">
        <v>3707</v>
      </c>
      <c r="D8" s="111" t="s">
        <v>3708</v>
      </c>
      <c r="E8" s="111" t="s">
        <v>3709</v>
      </c>
      <c r="F8" s="111" t="s">
        <v>3710</v>
      </c>
      <c r="G8" s="111" t="s">
        <v>3664</v>
      </c>
      <c r="H8" s="111" t="s">
        <v>3711</v>
      </c>
      <c r="I8" s="111" t="s">
        <v>3712</v>
      </c>
      <c r="J8" s="111" t="s">
        <v>3713</v>
      </c>
      <c r="K8" s="116">
        <v>45684.0</v>
      </c>
      <c r="L8" s="23"/>
      <c r="M8" s="23"/>
      <c r="N8" s="23"/>
      <c r="O8" s="23"/>
      <c r="P8" s="23"/>
      <c r="Q8" s="23"/>
      <c r="R8" s="23"/>
      <c r="S8" s="23"/>
      <c r="T8" s="23"/>
      <c r="U8" s="23"/>
      <c r="V8" s="23"/>
      <c r="W8" s="23"/>
      <c r="X8" s="23"/>
      <c r="Y8" s="23"/>
      <c r="Z8" s="23"/>
    </row>
    <row r="9">
      <c r="A9" s="111" t="s">
        <v>3714</v>
      </c>
      <c r="B9" s="111" t="s">
        <v>3715</v>
      </c>
      <c r="C9" s="111" t="s">
        <v>3714</v>
      </c>
      <c r="D9" s="111" t="s">
        <v>3716</v>
      </c>
      <c r="E9" s="111" t="s">
        <v>3717</v>
      </c>
      <c r="F9" s="111" t="s">
        <v>3718</v>
      </c>
      <c r="G9" s="111" t="s">
        <v>3719</v>
      </c>
      <c r="H9" s="111" t="s">
        <v>3720</v>
      </c>
      <c r="I9" s="111" t="s">
        <v>3721</v>
      </c>
      <c r="J9" s="111" t="s">
        <v>3722</v>
      </c>
      <c r="K9" s="116">
        <v>45629.0</v>
      </c>
      <c r="L9" s="23"/>
      <c r="M9" s="23"/>
      <c r="N9" s="23"/>
      <c r="O9" s="23"/>
      <c r="P9" s="23"/>
      <c r="Q9" s="23"/>
      <c r="R9" s="23"/>
      <c r="S9" s="23"/>
      <c r="T9" s="23"/>
      <c r="U9" s="23"/>
      <c r="V9" s="23"/>
      <c r="W9" s="23"/>
      <c r="X9" s="23"/>
      <c r="Y9" s="23"/>
      <c r="Z9" s="23"/>
    </row>
    <row r="10">
      <c r="A10" s="111" t="s">
        <v>3723</v>
      </c>
      <c r="B10" s="111" t="s">
        <v>3724</v>
      </c>
      <c r="C10" s="111" t="s">
        <v>3723</v>
      </c>
      <c r="D10" s="111" t="s">
        <v>3725</v>
      </c>
      <c r="E10" s="111" t="s">
        <v>3726</v>
      </c>
      <c r="F10" s="111" t="s">
        <v>3727</v>
      </c>
      <c r="G10" s="111" t="s">
        <v>3728</v>
      </c>
      <c r="H10" s="111" t="s">
        <v>3729</v>
      </c>
      <c r="I10" s="111" t="s">
        <v>3730</v>
      </c>
      <c r="J10" s="111" t="s">
        <v>3731</v>
      </c>
      <c r="K10" s="116">
        <v>45754.0</v>
      </c>
      <c r="L10" s="23"/>
      <c r="M10" s="23"/>
      <c r="N10" s="23"/>
      <c r="O10" s="23"/>
      <c r="P10" s="23"/>
      <c r="Q10" s="23"/>
      <c r="R10" s="23"/>
      <c r="S10" s="23"/>
      <c r="T10" s="23"/>
      <c r="U10" s="23"/>
      <c r="V10" s="23"/>
      <c r="W10" s="23"/>
      <c r="X10" s="23"/>
      <c r="Y10" s="23"/>
      <c r="Z10" s="23"/>
    </row>
    <row r="11">
      <c r="A11" s="23" t="s">
        <v>3732</v>
      </c>
      <c r="B11" s="23" t="s">
        <v>3733</v>
      </c>
      <c r="C11" s="23" t="s">
        <v>3732</v>
      </c>
      <c r="D11" s="23" t="s">
        <v>3734</v>
      </c>
      <c r="E11" s="23" t="s">
        <v>3735</v>
      </c>
      <c r="F11" s="23" t="s">
        <v>3736</v>
      </c>
      <c r="G11" s="122">
        <f>+358-40-5717586</f>
        <v>-5717268</v>
      </c>
      <c r="H11" s="23" t="s">
        <v>3729</v>
      </c>
      <c r="I11" s="23" t="s">
        <v>3737</v>
      </c>
      <c r="J11" s="23" t="s">
        <v>3738</v>
      </c>
      <c r="K11" s="143">
        <v>45748.0</v>
      </c>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149"/>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3223</v>
      </c>
      <c r="B1" s="23" t="s">
        <v>3739</v>
      </c>
      <c r="C1" s="23" t="s">
        <v>3740</v>
      </c>
      <c r="D1" s="23" t="s">
        <v>3741</v>
      </c>
      <c r="E1" s="23" t="s">
        <v>7</v>
      </c>
      <c r="F1" s="23"/>
      <c r="G1" s="23"/>
    </row>
    <row r="2">
      <c r="A2" s="23" t="s">
        <v>3742</v>
      </c>
      <c r="B2" s="23" t="s">
        <v>54</v>
      </c>
      <c r="C2" s="23" t="s">
        <v>3743</v>
      </c>
      <c r="D2" s="23" t="s">
        <v>3744</v>
      </c>
      <c r="E2" s="132" t="s">
        <v>3745</v>
      </c>
      <c r="F2" s="23"/>
      <c r="G2" s="23"/>
    </row>
    <row r="3">
      <c r="A3" s="23" t="s">
        <v>3746</v>
      </c>
      <c r="B3" s="23" t="s">
        <v>54</v>
      </c>
      <c r="C3" s="23" t="s">
        <v>3747</v>
      </c>
      <c r="D3" s="23" t="s">
        <v>3748</v>
      </c>
      <c r="E3" s="132" t="s">
        <v>3749</v>
      </c>
      <c r="F3" s="23"/>
      <c r="G3" s="23"/>
    </row>
    <row r="4">
      <c r="A4" s="23" t="s">
        <v>3750</v>
      </c>
      <c r="B4" s="23" t="s">
        <v>3751</v>
      </c>
      <c r="C4" s="23" t="s">
        <v>3752</v>
      </c>
      <c r="D4" s="23" t="s">
        <v>3753</v>
      </c>
      <c r="E4" s="132" t="s">
        <v>3754</v>
      </c>
      <c r="F4" s="23"/>
      <c r="G4" s="23"/>
    </row>
    <row r="5">
      <c r="A5" s="23" t="s">
        <v>3755</v>
      </c>
      <c r="B5" s="23" t="s">
        <v>3756</v>
      </c>
      <c r="C5" s="23" t="s">
        <v>3757</v>
      </c>
      <c r="D5" s="23" t="s">
        <v>3753</v>
      </c>
      <c r="E5" s="132" t="s">
        <v>3758</v>
      </c>
      <c r="F5" s="23"/>
      <c r="G5" s="23"/>
    </row>
    <row r="6">
      <c r="A6" s="23" t="s">
        <v>3759</v>
      </c>
      <c r="B6" s="23" t="s">
        <v>3760</v>
      </c>
      <c r="C6" s="23" t="s">
        <v>3761</v>
      </c>
      <c r="D6" s="23" t="s">
        <v>3748</v>
      </c>
      <c r="E6" s="132" t="s">
        <v>3762</v>
      </c>
      <c r="F6" s="23"/>
      <c r="G6" s="23"/>
    </row>
    <row r="7">
      <c r="A7" s="23" t="s">
        <v>3763</v>
      </c>
      <c r="B7" s="23" t="s">
        <v>560</v>
      </c>
      <c r="C7" s="23" t="s">
        <v>3764</v>
      </c>
      <c r="D7" s="23" t="s">
        <v>3765</v>
      </c>
      <c r="E7" s="132" t="s">
        <v>3766</v>
      </c>
      <c r="F7" s="23"/>
      <c r="G7" s="23"/>
    </row>
    <row r="8">
      <c r="A8" s="23" t="s">
        <v>3767</v>
      </c>
      <c r="B8" s="23" t="s">
        <v>560</v>
      </c>
      <c r="C8" s="23" t="s">
        <v>3768</v>
      </c>
      <c r="D8" s="23" t="s">
        <v>3748</v>
      </c>
      <c r="E8" s="132" t="s">
        <v>3769</v>
      </c>
      <c r="F8" s="23"/>
      <c r="G8" s="23"/>
    </row>
    <row r="9">
      <c r="A9" s="23" t="s">
        <v>3770</v>
      </c>
      <c r="B9" s="23" t="s">
        <v>823</v>
      </c>
      <c r="C9" s="23" t="s">
        <v>3771</v>
      </c>
      <c r="D9" s="23" t="s">
        <v>3772</v>
      </c>
      <c r="E9" s="132" t="s">
        <v>3773</v>
      </c>
      <c r="F9" s="23"/>
      <c r="G9" s="23"/>
    </row>
    <row r="10">
      <c r="A10" s="23" t="s">
        <v>3774</v>
      </c>
      <c r="B10" s="23" t="s">
        <v>823</v>
      </c>
      <c r="C10" s="23" t="s">
        <v>3768</v>
      </c>
      <c r="D10" s="23" t="s">
        <v>3748</v>
      </c>
      <c r="E10" s="132" t="s">
        <v>3775</v>
      </c>
      <c r="F10" s="23"/>
      <c r="G10" s="23"/>
    </row>
    <row r="11">
      <c r="A11" s="23" t="s">
        <v>3776</v>
      </c>
      <c r="B11" s="23" t="s">
        <v>971</v>
      </c>
      <c r="C11" s="23" t="s">
        <v>3777</v>
      </c>
      <c r="D11" s="23" t="s">
        <v>3778</v>
      </c>
      <c r="E11" s="132" t="s">
        <v>3779</v>
      </c>
      <c r="F11" s="23"/>
      <c r="G11" s="23"/>
    </row>
    <row r="12">
      <c r="A12" s="23" t="s">
        <v>3780</v>
      </c>
      <c r="B12" s="23" t="s">
        <v>971</v>
      </c>
      <c r="C12" s="23" t="s">
        <v>3781</v>
      </c>
      <c r="D12" s="23" t="s">
        <v>3782</v>
      </c>
      <c r="E12" s="132" t="s">
        <v>3783</v>
      </c>
      <c r="F12" s="23"/>
      <c r="G12" s="23"/>
    </row>
    <row r="13">
      <c r="A13" s="23" t="s">
        <v>3784</v>
      </c>
      <c r="B13" s="23" t="s">
        <v>1463</v>
      </c>
      <c r="C13" s="23" t="s">
        <v>3785</v>
      </c>
      <c r="D13" s="23" t="s">
        <v>3786</v>
      </c>
      <c r="E13" s="132" t="s">
        <v>3787</v>
      </c>
      <c r="F13" s="23"/>
      <c r="G13" s="23"/>
    </row>
    <row r="14">
      <c r="A14" s="23" t="s">
        <v>3788</v>
      </c>
      <c r="B14" s="23" t="s">
        <v>1463</v>
      </c>
      <c r="C14" s="23" t="s">
        <v>3789</v>
      </c>
      <c r="D14" s="23" t="s">
        <v>3748</v>
      </c>
      <c r="E14" s="132" t="s">
        <v>3790</v>
      </c>
      <c r="F14" s="23"/>
      <c r="G14" s="23"/>
    </row>
    <row r="15">
      <c r="A15" s="23" t="s">
        <v>3791</v>
      </c>
      <c r="B15" s="23" t="s">
        <v>1463</v>
      </c>
      <c r="C15" s="23" t="s">
        <v>3792</v>
      </c>
      <c r="D15" s="23" t="s">
        <v>3793</v>
      </c>
      <c r="E15" s="132" t="s">
        <v>3794</v>
      </c>
      <c r="F15" s="23"/>
      <c r="G15" s="23"/>
    </row>
    <row r="16">
      <c r="A16" s="23" t="s">
        <v>3795</v>
      </c>
      <c r="B16" s="23" t="s">
        <v>1524</v>
      </c>
      <c r="C16" s="23" t="s">
        <v>3796</v>
      </c>
      <c r="D16" s="23" t="s">
        <v>3765</v>
      </c>
      <c r="E16" s="132" t="s">
        <v>3797</v>
      </c>
      <c r="F16" s="23"/>
      <c r="G16" s="23"/>
    </row>
    <row r="17">
      <c r="A17" s="23" t="s">
        <v>3798</v>
      </c>
      <c r="B17" s="23" t="s">
        <v>1524</v>
      </c>
      <c r="C17" s="23" t="s">
        <v>3768</v>
      </c>
      <c r="D17" s="23" t="s">
        <v>3748</v>
      </c>
      <c r="E17" s="132" t="s">
        <v>3799</v>
      </c>
      <c r="F17" s="23"/>
      <c r="G17" s="23"/>
    </row>
    <row r="18">
      <c r="A18" s="23" t="s">
        <v>3800</v>
      </c>
      <c r="B18" s="23" t="s">
        <v>1537</v>
      </c>
      <c r="C18" s="23" t="s">
        <v>3801</v>
      </c>
      <c r="D18" s="23" t="s">
        <v>3802</v>
      </c>
      <c r="E18" s="132" t="s">
        <v>3803</v>
      </c>
      <c r="F18" s="23"/>
      <c r="G18" s="23"/>
    </row>
    <row r="19">
      <c r="A19" s="23" t="s">
        <v>3804</v>
      </c>
      <c r="B19" s="23" t="s">
        <v>1537</v>
      </c>
      <c r="C19" s="23" t="s">
        <v>3805</v>
      </c>
      <c r="D19" s="23" t="s">
        <v>3793</v>
      </c>
      <c r="E19" s="132" t="s">
        <v>3806</v>
      </c>
      <c r="F19" s="23"/>
      <c r="G19" s="23"/>
    </row>
    <row r="20">
      <c r="A20" s="23" t="s">
        <v>3807</v>
      </c>
      <c r="B20" s="23" t="s">
        <v>1553</v>
      </c>
      <c r="C20" s="23" t="s">
        <v>3808</v>
      </c>
      <c r="D20" s="23" t="s">
        <v>3809</v>
      </c>
      <c r="E20" s="132" t="s">
        <v>3810</v>
      </c>
      <c r="F20" s="23"/>
      <c r="G20" s="23"/>
    </row>
    <row r="21">
      <c r="A21" s="23" t="s">
        <v>3811</v>
      </c>
      <c r="B21" s="23" t="s">
        <v>1553</v>
      </c>
      <c r="C21" s="23" t="s">
        <v>3812</v>
      </c>
      <c r="D21" s="23" t="s">
        <v>3765</v>
      </c>
      <c r="E21" s="132" t="s">
        <v>3813</v>
      </c>
      <c r="F21" s="23"/>
      <c r="G21" s="23"/>
    </row>
    <row r="22">
      <c r="A22" s="23" t="s">
        <v>3814</v>
      </c>
      <c r="B22" s="23" t="s">
        <v>1600</v>
      </c>
      <c r="C22" s="23" t="s">
        <v>3815</v>
      </c>
      <c r="D22" s="23" t="s">
        <v>3765</v>
      </c>
      <c r="E22" s="132" t="s">
        <v>3816</v>
      </c>
      <c r="F22" s="23"/>
      <c r="G22" s="23"/>
    </row>
    <row r="23">
      <c r="A23" s="23" t="s">
        <v>3817</v>
      </c>
      <c r="B23" s="23" t="s">
        <v>1600</v>
      </c>
      <c r="C23" s="23" t="s">
        <v>3818</v>
      </c>
      <c r="D23" s="23" t="s">
        <v>3753</v>
      </c>
      <c r="E23" s="132" t="s">
        <v>3819</v>
      </c>
      <c r="F23" s="23"/>
      <c r="G23" s="23"/>
    </row>
    <row r="24">
      <c r="A24" s="23" t="s">
        <v>3820</v>
      </c>
      <c r="B24" s="23" t="s">
        <v>1614</v>
      </c>
      <c r="C24" s="23" t="s">
        <v>3821</v>
      </c>
      <c r="D24" s="23" t="s">
        <v>3822</v>
      </c>
      <c r="E24" s="132" t="s">
        <v>3637</v>
      </c>
      <c r="F24" s="23"/>
      <c r="G24" s="23"/>
    </row>
    <row r="25">
      <c r="A25" s="23" t="s">
        <v>3823</v>
      </c>
      <c r="B25" s="23" t="s">
        <v>1639</v>
      </c>
      <c r="C25" s="23" t="s">
        <v>3824</v>
      </c>
      <c r="D25" s="23" t="s">
        <v>3786</v>
      </c>
      <c r="E25" s="132" t="s">
        <v>3825</v>
      </c>
      <c r="F25" s="23"/>
      <c r="G25" s="23"/>
    </row>
    <row r="26">
      <c r="A26" s="23" t="s">
        <v>3826</v>
      </c>
      <c r="B26" s="23" t="s">
        <v>1639</v>
      </c>
      <c r="C26" s="23" t="s">
        <v>3768</v>
      </c>
      <c r="D26" s="23" t="s">
        <v>3748</v>
      </c>
      <c r="E26" s="132" t="s">
        <v>3827</v>
      </c>
      <c r="F26" s="23"/>
      <c r="G26" s="23"/>
    </row>
    <row r="27">
      <c r="A27" s="23" t="s">
        <v>3828</v>
      </c>
      <c r="B27" s="23" t="s">
        <v>1657</v>
      </c>
      <c r="C27" s="23" t="s">
        <v>3829</v>
      </c>
      <c r="D27" s="23" t="s">
        <v>3765</v>
      </c>
      <c r="E27" s="132" t="s">
        <v>3830</v>
      </c>
      <c r="F27" s="23"/>
      <c r="G27" s="23"/>
    </row>
    <row r="28">
      <c r="A28" s="23" t="s">
        <v>3831</v>
      </c>
      <c r="B28" s="23" t="s">
        <v>1657</v>
      </c>
      <c r="C28" s="23" t="s">
        <v>3768</v>
      </c>
      <c r="D28" s="23" t="s">
        <v>3748</v>
      </c>
      <c r="E28" s="132" t="s">
        <v>3832</v>
      </c>
      <c r="F28" s="23"/>
      <c r="G28" s="23"/>
    </row>
    <row r="29">
      <c r="A29" s="23" t="s">
        <v>3833</v>
      </c>
      <c r="B29" s="23" t="s">
        <v>1823</v>
      </c>
      <c r="C29" s="23" t="s">
        <v>3834</v>
      </c>
      <c r="D29" s="23" t="s">
        <v>3765</v>
      </c>
      <c r="E29" s="132" t="s">
        <v>3835</v>
      </c>
      <c r="F29" s="23"/>
      <c r="G29" s="23"/>
    </row>
    <row r="30">
      <c r="A30" s="23" t="s">
        <v>3836</v>
      </c>
      <c r="B30" s="23" t="s">
        <v>1823</v>
      </c>
      <c r="C30" s="23" t="s">
        <v>3768</v>
      </c>
      <c r="D30" s="23" t="s">
        <v>3748</v>
      </c>
      <c r="E30" s="132" t="s">
        <v>3837</v>
      </c>
      <c r="F30" s="23"/>
      <c r="G30" s="23"/>
    </row>
    <row r="31">
      <c r="A31" s="23" t="s">
        <v>3838</v>
      </c>
      <c r="B31" s="23" t="s">
        <v>1848</v>
      </c>
      <c r="C31" s="23" t="s">
        <v>3839</v>
      </c>
      <c r="D31" s="23" t="s">
        <v>3744</v>
      </c>
      <c r="E31" s="132" t="s">
        <v>3840</v>
      </c>
      <c r="F31" s="23"/>
      <c r="G31" s="23"/>
    </row>
    <row r="32">
      <c r="A32" s="23" t="s">
        <v>3841</v>
      </c>
      <c r="B32" s="23" t="s">
        <v>1848</v>
      </c>
      <c r="C32" s="23" t="s">
        <v>3768</v>
      </c>
      <c r="D32" s="23" t="s">
        <v>3748</v>
      </c>
      <c r="E32" s="132" t="s">
        <v>3842</v>
      </c>
      <c r="F32" s="23"/>
      <c r="G32" s="23"/>
    </row>
    <row r="33">
      <c r="A33" s="23" t="s">
        <v>3843</v>
      </c>
      <c r="B33" s="23" t="s">
        <v>1864</v>
      </c>
      <c r="C33" s="23" t="s">
        <v>3844</v>
      </c>
      <c r="D33" s="23" t="s">
        <v>3765</v>
      </c>
      <c r="E33" s="132" t="s">
        <v>3845</v>
      </c>
      <c r="F33" s="23"/>
      <c r="G33" s="23"/>
    </row>
    <row r="34">
      <c r="A34" s="23" t="s">
        <v>3846</v>
      </c>
      <c r="B34" s="23" t="s">
        <v>1864</v>
      </c>
      <c r="C34" s="23" t="s">
        <v>3768</v>
      </c>
      <c r="D34" s="23" t="s">
        <v>3748</v>
      </c>
      <c r="E34" s="132" t="s">
        <v>3847</v>
      </c>
      <c r="F34" s="23"/>
      <c r="G34" s="23"/>
    </row>
    <row r="35">
      <c r="A35" s="23" t="s">
        <v>3848</v>
      </c>
      <c r="B35" s="23" t="s">
        <v>1876</v>
      </c>
      <c r="C35" s="23" t="s">
        <v>3849</v>
      </c>
      <c r="D35" s="23" t="s">
        <v>3765</v>
      </c>
      <c r="E35" s="132" t="s">
        <v>3850</v>
      </c>
      <c r="F35" s="23"/>
      <c r="G35" s="23"/>
    </row>
    <row r="36">
      <c r="A36" s="23" t="s">
        <v>3851</v>
      </c>
      <c r="B36" s="23" t="s">
        <v>1876</v>
      </c>
      <c r="C36" s="23" t="s">
        <v>3852</v>
      </c>
      <c r="D36" s="23" t="s">
        <v>3753</v>
      </c>
      <c r="E36" s="132" t="s">
        <v>3853</v>
      </c>
      <c r="F36" s="23"/>
      <c r="G36" s="23"/>
    </row>
    <row r="37">
      <c r="A37" s="23" t="s">
        <v>3854</v>
      </c>
      <c r="B37" s="23" t="s">
        <v>1892</v>
      </c>
      <c r="C37" s="23" t="s">
        <v>3855</v>
      </c>
      <c r="D37" s="23" t="s">
        <v>3856</v>
      </c>
      <c r="E37" s="132" t="s">
        <v>3857</v>
      </c>
      <c r="F37" s="23"/>
      <c r="G37" s="23"/>
    </row>
    <row r="38">
      <c r="A38" s="23" t="s">
        <v>3456</v>
      </c>
      <c r="B38" s="23" t="s">
        <v>1892</v>
      </c>
      <c r="C38" s="23" t="s">
        <v>3858</v>
      </c>
      <c r="D38" s="23" t="s">
        <v>3802</v>
      </c>
      <c r="E38" s="132" t="s">
        <v>3859</v>
      </c>
      <c r="F38" s="23"/>
      <c r="G38" s="23"/>
    </row>
    <row r="39">
      <c r="A39" s="23"/>
      <c r="B39" s="23"/>
      <c r="C39" s="23"/>
      <c r="D39" s="23"/>
      <c r="E39" s="23"/>
      <c r="F39" s="23"/>
      <c r="G39" s="23"/>
    </row>
    <row r="40">
      <c r="A40" s="23"/>
      <c r="B40" s="23"/>
      <c r="C40" s="23"/>
      <c r="D40" s="23"/>
      <c r="E40" s="23"/>
      <c r="F40" s="23"/>
      <c r="G40" s="23"/>
    </row>
    <row r="41">
      <c r="A41" s="23"/>
      <c r="B41" s="23"/>
      <c r="C41" s="23"/>
      <c r="D41" s="23"/>
      <c r="E41" s="23"/>
      <c r="F41" s="23"/>
      <c r="G41" s="23"/>
    </row>
    <row r="42">
      <c r="A42" s="23"/>
      <c r="B42" s="23"/>
      <c r="C42" s="23"/>
      <c r="D42" s="23"/>
      <c r="E42" s="23"/>
      <c r="F42" s="23"/>
      <c r="G42" s="23"/>
    </row>
    <row r="43">
      <c r="A43" s="23"/>
      <c r="B43" s="23"/>
      <c r="C43" s="23"/>
      <c r="D43" s="23"/>
      <c r="E43" s="23"/>
      <c r="F43" s="23"/>
      <c r="G43" s="23"/>
    </row>
    <row r="44">
      <c r="A44" s="23"/>
      <c r="B44" s="23"/>
      <c r="C44" s="23"/>
      <c r="D44" s="23"/>
      <c r="E44" s="23"/>
      <c r="F44" s="23"/>
      <c r="G44" s="23"/>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s>
  <drawing r:id="rId3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10" width="0.38"/>
  </cols>
  <sheetData>
    <row r="2" ht="403.5" customHeight="1">
      <c r="A2" s="105" t="s">
        <v>3860</v>
      </c>
    </row>
  </sheetData>
  <mergeCells count="1">
    <mergeCell ref="A2:J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3</v>
      </c>
      <c r="B1" s="23" t="s">
        <v>3861</v>
      </c>
      <c r="C1" s="23" t="s">
        <v>3862</v>
      </c>
      <c r="D1" s="23" t="s">
        <v>3863</v>
      </c>
    </row>
    <row r="2">
      <c r="A2" s="23" t="s">
        <v>30</v>
      </c>
      <c r="B2" s="23" t="s">
        <v>29</v>
      </c>
      <c r="C2" s="23" t="s">
        <v>3864</v>
      </c>
      <c r="D2" s="23" t="s">
        <v>3865</v>
      </c>
    </row>
    <row r="3">
      <c r="A3" s="23" t="s">
        <v>49</v>
      </c>
      <c r="B3" s="23" t="s">
        <v>48</v>
      </c>
      <c r="C3" s="23" t="s">
        <v>3866</v>
      </c>
      <c r="D3" s="23" t="s">
        <v>3867</v>
      </c>
    </row>
    <row r="4">
      <c r="A4" s="23" t="s">
        <v>55</v>
      </c>
      <c r="B4" s="23" t="s">
        <v>54</v>
      </c>
      <c r="C4" s="23" t="s">
        <v>3868</v>
      </c>
      <c r="D4" s="23" t="s">
        <v>3869</v>
      </c>
    </row>
    <row r="5">
      <c r="A5" s="23" t="s">
        <v>279</v>
      </c>
      <c r="B5" s="23" t="s">
        <v>278</v>
      </c>
      <c r="C5" s="23" t="s">
        <v>3864</v>
      </c>
      <c r="D5" s="23" t="s">
        <v>3870</v>
      </c>
    </row>
    <row r="6">
      <c r="A6" s="23" t="s">
        <v>517</v>
      </c>
      <c r="B6" s="23" t="s">
        <v>3871</v>
      </c>
      <c r="C6" s="23" t="s">
        <v>3872</v>
      </c>
      <c r="D6" s="23" t="s">
        <v>3873</v>
      </c>
    </row>
    <row r="7">
      <c r="A7" s="150" t="s">
        <v>553</v>
      </c>
      <c r="B7" s="150" t="s">
        <v>552</v>
      </c>
      <c r="C7" s="150" t="s">
        <v>3874</v>
      </c>
      <c r="D7" s="150" t="s">
        <v>3875</v>
      </c>
    </row>
    <row r="8">
      <c r="A8" s="23" t="s">
        <v>557</v>
      </c>
      <c r="B8" s="23" t="s">
        <v>560</v>
      </c>
      <c r="C8" s="23" t="s">
        <v>3876</v>
      </c>
      <c r="D8" s="23" t="s">
        <v>3877</v>
      </c>
    </row>
    <row r="9">
      <c r="A9" s="23" t="s">
        <v>774</v>
      </c>
      <c r="B9" s="23" t="s">
        <v>773</v>
      </c>
      <c r="C9" s="23" t="s">
        <v>3876</v>
      </c>
      <c r="D9" s="23" t="s">
        <v>3878</v>
      </c>
    </row>
    <row r="10">
      <c r="A10" s="23" t="s">
        <v>824</v>
      </c>
      <c r="B10" s="23" t="s">
        <v>823</v>
      </c>
      <c r="C10" s="23" t="s">
        <v>3876</v>
      </c>
      <c r="D10" s="23" t="s">
        <v>3879</v>
      </c>
    </row>
    <row r="11">
      <c r="A11" s="23" t="s">
        <v>972</v>
      </c>
      <c r="B11" s="23" t="s">
        <v>971</v>
      </c>
      <c r="C11" s="23" t="s">
        <v>3864</v>
      </c>
      <c r="D11" s="23" t="s">
        <v>3880</v>
      </c>
    </row>
    <row r="12">
      <c r="A12" s="23" t="s">
        <v>1464</v>
      </c>
      <c r="B12" s="23" t="s">
        <v>1463</v>
      </c>
      <c r="C12" s="23" t="s">
        <v>3868</v>
      </c>
      <c r="D12" s="23" t="s">
        <v>3881</v>
      </c>
    </row>
    <row r="13">
      <c r="A13" s="23" t="s">
        <v>1484</v>
      </c>
      <c r="B13" s="23" t="s">
        <v>1483</v>
      </c>
      <c r="C13" s="23" t="s">
        <v>3882</v>
      </c>
      <c r="D13" s="23" t="s">
        <v>3883</v>
      </c>
    </row>
    <row r="14">
      <c r="A14" s="23" t="s">
        <v>1498</v>
      </c>
      <c r="B14" s="23" t="s">
        <v>1497</v>
      </c>
      <c r="C14" s="23" t="s">
        <v>3884</v>
      </c>
      <c r="D14" s="23" t="s">
        <v>3885</v>
      </c>
    </row>
    <row r="15">
      <c r="A15" s="23" t="s">
        <v>1510</v>
      </c>
      <c r="B15" s="23" t="s">
        <v>1509</v>
      </c>
      <c r="C15" s="23" t="s">
        <v>3886</v>
      </c>
      <c r="D15" s="23" t="s">
        <v>3887</v>
      </c>
    </row>
    <row r="16">
      <c r="A16" s="23" t="s">
        <v>1525</v>
      </c>
      <c r="B16" s="23" t="s">
        <v>1524</v>
      </c>
      <c r="C16" s="23" t="s">
        <v>3876</v>
      </c>
      <c r="D16" s="23" t="s">
        <v>3888</v>
      </c>
    </row>
    <row r="17">
      <c r="A17" s="23" t="s">
        <v>1538</v>
      </c>
      <c r="B17" s="23" t="s">
        <v>1537</v>
      </c>
      <c r="C17" s="23" t="s">
        <v>3864</v>
      </c>
      <c r="D17" s="23" t="s">
        <v>3889</v>
      </c>
    </row>
    <row r="18">
      <c r="A18" s="23" t="s">
        <v>1554</v>
      </c>
      <c r="B18" s="23" t="s">
        <v>1553</v>
      </c>
      <c r="C18" s="23" t="s">
        <v>3882</v>
      </c>
      <c r="D18" s="23" t="s">
        <v>3890</v>
      </c>
    </row>
    <row r="19">
      <c r="A19" s="23" t="s">
        <v>1573</v>
      </c>
      <c r="B19" s="23" t="s">
        <v>1572</v>
      </c>
      <c r="C19" s="23" t="s">
        <v>3886</v>
      </c>
      <c r="D19" s="23" t="s">
        <v>3891</v>
      </c>
    </row>
    <row r="20">
      <c r="A20" s="23" t="s">
        <v>1587</v>
      </c>
      <c r="B20" s="23" t="s">
        <v>1586</v>
      </c>
      <c r="C20" s="23" t="s">
        <v>3868</v>
      </c>
      <c r="D20" s="23" t="s">
        <v>3892</v>
      </c>
    </row>
    <row r="21">
      <c r="A21" s="23" t="s">
        <v>1601</v>
      </c>
      <c r="B21" s="23" t="s">
        <v>1600</v>
      </c>
      <c r="C21" s="23" t="s">
        <v>3864</v>
      </c>
      <c r="D21" s="23" t="s">
        <v>3893</v>
      </c>
    </row>
    <row r="22">
      <c r="A22" s="23" t="s">
        <v>1615</v>
      </c>
      <c r="B22" s="23" t="s">
        <v>1614</v>
      </c>
      <c r="C22" s="23" t="s">
        <v>3882</v>
      </c>
      <c r="D22" s="23" t="s">
        <v>3894</v>
      </c>
    </row>
    <row r="23">
      <c r="A23" s="23" t="s">
        <v>1628</v>
      </c>
      <c r="B23" s="23" t="s">
        <v>1627</v>
      </c>
      <c r="C23" s="23" t="s">
        <v>3864</v>
      </c>
      <c r="D23" s="23" t="s">
        <v>3895</v>
      </c>
    </row>
    <row r="24">
      <c r="A24" s="23" t="s">
        <v>1640</v>
      </c>
      <c r="B24" s="23" t="s">
        <v>1639</v>
      </c>
      <c r="C24" s="23" t="s">
        <v>3864</v>
      </c>
      <c r="D24" s="23" t="s">
        <v>3896</v>
      </c>
    </row>
    <row r="25">
      <c r="A25" s="23" t="s">
        <v>1658</v>
      </c>
      <c r="B25" s="23" t="s">
        <v>1657</v>
      </c>
      <c r="C25" s="23" t="s">
        <v>3876</v>
      </c>
      <c r="D25" s="23" t="s">
        <v>3897</v>
      </c>
    </row>
    <row r="26">
      <c r="A26" s="23" t="s">
        <v>1824</v>
      </c>
      <c r="B26" s="23" t="s">
        <v>1823</v>
      </c>
      <c r="C26" s="23" t="s">
        <v>3882</v>
      </c>
      <c r="D26" s="23" t="s">
        <v>3898</v>
      </c>
    </row>
    <row r="27">
      <c r="A27" s="23" t="s">
        <v>1838</v>
      </c>
      <c r="B27" s="23" t="s">
        <v>1837</v>
      </c>
      <c r="C27" s="23" t="s">
        <v>3882</v>
      </c>
      <c r="D27" s="23" t="s">
        <v>3899</v>
      </c>
    </row>
    <row r="28">
      <c r="A28" s="23" t="s">
        <v>1849</v>
      </c>
      <c r="B28" s="23" t="s">
        <v>1848</v>
      </c>
      <c r="C28" s="23" t="s">
        <v>3882</v>
      </c>
      <c r="D28" s="23" t="s">
        <v>3900</v>
      </c>
    </row>
    <row r="29">
      <c r="A29" s="23" t="s">
        <v>1865</v>
      </c>
      <c r="B29" s="23" t="s">
        <v>1864</v>
      </c>
      <c r="C29" s="23" t="s">
        <v>3876</v>
      </c>
      <c r="D29" s="23" t="s">
        <v>3901</v>
      </c>
    </row>
    <row r="30">
      <c r="A30" s="23" t="s">
        <v>1877</v>
      </c>
      <c r="B30" s="23" t="s">
        <v>1876</v>
      </c>
      <c r="C30" s="23" t="s">
        <v>3868</v>
      </c>
      <c r="D30" s="23" t="s">
        <v>3902</v>
      </c>
    </row>
    <row r="31">
      <c r="A31" s="23" t="s">
        <v>1893</v>
      </c>
      <c r="B31" s="23" t="s">
        <v>1892</v>
      </c>
      <c r="C31" s="23" t="s">
        <v>3864</v>
      </c>
      <c r="D31" s="23" t="s">
        <v>3903</v>
      </c>
    </row>
    <row r="32">
      <c r="A32" s="23" t="s">
        <v>1909</v>
      </c>
      <c r="B32" s="23" t="s">
        <v>1908</v>
      </c>
      <c r="C32" s="23" t="s">
        <v>3882</v>
      </c>
      <c r="D32" s="23" t="s">
        <v>3904</v>
      </c>
    </row>
    <row r="34">
      <c r="B34" s="150" t="s">
        <v>3905</v>
      </c>
    </row>
    <row r="35">
      <c r="B35" s="150" t="s">
        <v>3906</v>
      </c>
    </row>
    <row r="38">
      <c r="C38" s="108"/>
    </row>
    <row r="39">
      <c r="C39" s="108"/>
    </row>
    <row r="40">
      <c r="C40" s="108"/>
    </row>
  </sheetData>
  <drawing r:id="rId1"/>
</worksheet>
</file>